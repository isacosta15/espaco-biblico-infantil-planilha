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anças" sheetId="1" state="visible" r:id="rId3"/>
    <sheet name="Resumo" sheetId="2" state="visible" r:id="rId4"/>
    <sheet name="Conferir" sheetId="3" state="visible" r:id="rId5"/>
    <sheet name="Retiradas" sheetId="4" state="visible" r:id="rId6"/>
  </sheets>
  <definedNames>
    <definedName function="false" hidden="true" localSheetId="0" name="_xlnm._FilterDatabase" vbProcedure="false">Crianças!$A$1:$L$140</definedName>
    <definedName function="false" hidden="true" localSheetId="3" name="_xlnm._FilterDatabase" vbProcedure="false">Retiradas!$A$1:$F$171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Vazio = nenhuma informação recebida (não significa necessariamente "Não").</t>
        </r>
      </text>
    </comment>
    <comment ref="I1" authorId="0">
      <text>
        <r>
          <rPr>
            <sz val="10"/>
            <rFont val="Arial"/>
            <family val="2"/>
          </rPr>
          <t xml:space="preserve">Vazio = nenhuma informação recebida (não significa necessariamente "Não").</t>
        </r>
      </text>
    </comment>
    <comment ref="J1" authorId="0">
      <text>
        <r>
          <rPr>
            <sz val="10"/>
            <rFont val="Arial"/>
            <family val="2"/>
          </rPr>
          <t xml:space="preserve">Total de presenças marcadas na planilha original (jan a jul/2026; de agosto em diante não há presenças preenchidas). Serve para você filtrar por frequência.</t>
        </r>
      </text>
    </comment>
  </commentList>
</comments>
</file>

<file path=xl/sharedStrings.xml><?xml version="1.0" encoding="utf-8"?>
<sst xmlns="http://schemas.openxmlformats.org/spreadsheetml/2006/main" count="1386" uniqueCount="871">
  <si>
    <t xml:space="preserve">Nome da criança</t>
  </si>
  <si>
    <t xml:space="preserve">Sexo (M/F)</t>
  </si>
  <si>
    <t xml:space="preserve">Data de nascimento</t>
  </si>
  <si>
    <t xml:space="preserve">Nome do responsável</t>
  </si>
  <si>
    <t xml:space="preserve">Telefone do responsável</t>
  </si>
  <si>
    <t xml:space="preserve">Congregação</t>
  </si>
  <si>
    <t xml:space="preserve">Restrição alimentar</t>
  </si>
  <si>
    <t xml:space="preserve">Qual restrição</t>
  </si>
  <si>
    <t xml:space="preserve">Autismo</t>
  </si>
  <si>
    <t xml:space="preserve">Presenças (jan–jul 2026)</t>
  </si>
  <si>
    <t xml:space="preserve">Pendências</t>
  </si>
  <si>
    <t xml:space="preserve">Observações</t>
  </si>
  <si>
    <t xml:space="preserve">Alessia Alves Barbosa</t>
  </si>
  <si>
    <t xml:space="preserve">F</t>
  </si>
  <si>
    <t xml:space="preserve">Cristiane Alves da Silva</t>
  </si>
  <si>
    <t xml:space="preserve">93145-5868</t>
  </si>
  <si>
    <t xml:space="preserve">Pq. Santa Teresa</t>
  </si>
  <si>
    <t xml:space="preserve">Alice Fernandes</t>
  </si>
  <si>
    <t xml:space="preserve">Maria de Lourdes</t>
  </si>
  <si>
    <t xml:space="preserve">96512-4742</t>
  </si>
  <si>
    <t xml:space="preserve">Alice Salvador Elias</t>
  </si>
  <si>
    <t xml:space="preserve">Leana Flavia Salvador Elias</t>
  </si>
  <si>
    <t xml:space="preserve">(11) 94862-7384</t>
  </si>
  <si>
    <t xml:space="preserve">Alicia Costa Faria</t>
  </si>
  <si>
    <t xml:space="preserve">Greice Kely Faria</t>
  </si>
  <si>
    <t xml:space="preserve">94797-3304</t>
  </si>
  <si>
    <t xml:space="preserve">Alícia Estevo Fernandes</t>
  </si>
  <si>
    <t xml:space="preserve">Milena Cristina Felix</t>
  </si>
  <si>
    <t xml:space="preserve">93451-7932</t>
  </si>
  <si>
    <t xml:space="preserve">Alicia Gabrielly Verciani de Farias</t>
  </si>
  <si>
    <t xml:space="preserve">Edimara Neves de Faria</t>
  </si>
  <si>
    <t xml:space="preserve">96950-9058</t>
  </si>
  <si>
    <t xml:space="preserve">Ana Clara Maia</t>
  </si>
  <si>
    <t xml:space="preserve">Neuda Maia</t>
  </si>
  <si>
    <t xml:space="preserve">97345-1615</t>
  </si>
  <si>
    <t xml:space="preserve">Jd. Novo Horizonte 2</t>
  </si>
  <si>
    <t xml:space="preserve">Ana Júlia do Nascimento Ferreira</t>
  </si>
  <si>
    <t xml:space="preserve">Marisa de Oliveira</t>
  </si>
  <si>
    <t xml:space="preserve">96779-9374</t>
  </si>
  <si>
    <t xml:space="preserve">Ana Júlia Ferreira Alves</t>
  </si>
  <si>
    <t xml:space="preserve">Rosana Regina Rosa</t>
  </si>
  <si>
    <t xml:space="preserve">9735-6275</t>
  </si>
  <si>
    <t xml:space="preserve">Antonio Miguel Barranhos</t>
  </si>
  <si>
    <t xml:space="preserve">M</t>
  </si>
  <si>
    <t xml:space="preserve">Claudia Barranhos</t>
  </si>
  <si>
    <t xml:space="preserve">Arthur Albino Lima</t>
  </si>
  <si>
    <t xml:space="preserve">Claudia Lima</t>
  </si>
  <si>
    <t xml:space="preserve">9928-9255</t>
  </si>
  <si>
    <t xml:space="preserve">Arthur Carvalho</t>
  </si>
  <si>
    <t xml:space="preserve">Janario</t>
  </si>
  <si>
    <t xml:space="preserve">(11) 97303-2058</t>
  </si>
  <si>
    <t xml:space="preserve">Silviana</t>
  </si>
  <si>
    <t xml:space="preserve">Arthur de Oliviera</t>
  </si>
  <si>
    <t xml:space="preserve">Marco Aurélio de Oliviera</t>
  </si>
  <si>
    <t xml:space="preserve">98790-3950</t>
  </si>
  <si>
    <t xml:space="preserve">Arthur dos Santos Vieira</t>
  </si>
  <si>
    <t xml:space="preserve">Alice Rodrigues dos Santos Silva</t>
  </si>
  <si>
    <t xml:space="preserve">99103-2515</t>
  </si>
  <si>
    <t xml:space="preserve">Ayla Galdêncio</t>
  </si>
  <si>
    <t xml:space="preserve">Zenaide Gaudêncio</t>
  </si>
  <si>
    <t xml:space="preserve">95490-7307</t>
  </si>
  <si>
    <t xml:space="preserve">Beatriz Martins Arruda</t>
  </si>
  <si>
    <t xml:space="preserve">Karina Martins</t>
  </si>
  <si>
    <t xml:space="preserve">97966-4252</t>
  </si>
  <si>
    <t xml:space="preserve">Benjamim Marques</t>
  </si>
  <si>
    <t xml:space="preserve">Sabrina Carnelossi</t>
  </si>
  <si>
    <t xml:space="preserve">98463-7683</t>
  </si>
  <si>
    <t xml:space="preserve">Bernardo Cerqueira</t>
  </si>
  <si>
    <t xml:space="preserve">Bernardo Silva Costa Rocha</t>
  </si>
  <si>
    <t xml:space="preserve">Taís Cristina Rocha</t>
  </si>
  <si>
    <t xml:space="preserve">(11) 97522-6865</t>
  </si>
  <si>
    <t xml:space="preserve">Bianca Jeronimo Azevedo</t>
  </si>
  <si>
    <t xml:space="preserve">Sandra Ribeiro</t>
  </si>
  <si>
    <t xml:space="preserve">94088-3095</t>
  </si>
  <si>
    <t xml:space="preserve">Bryan Anthony Andrade de Deus</t>
  </si>
  <si>
    <t xml:space="preserve">Marilza Alves</t>
  </si>
  <si>
    <t xml:space="preserve">Aldeia de Barueri</t>
  </si>
  <si>
    <t xml:space="preserve">Calebe Bernardino Nascimento</t>
  </si>
  <si>
    <t xml:space="preserve">Antônia Elioneide Vieira</t>
  </si>
  <si>
    <t xml:space="preserve">98162-4746</t>
  </si>
  <si>
    <t xml:space="preserve">Carlos Eduardo</t>
  </si>
  <si>
    <t xml:space="preserve">Carlos Alberto Dias</t>
  </si>
  <si>
    <t xml:space="preserve">(11) 94576-3638</t>
  </si>
  <si>
    <t xml:space="preserve">Data de nascimento na planilha (24/11/2026) é inválida; deixei em branco.</t>
  </si>
  <si>
    <t xml:space="preserve">Daniel Almeida</t>
  </si>
  <si>
    <t xml:space="preserve">Quezia Perez</t>
  </si>
  <si>
    <t xml:space="preserve">95477-8131</t>
  </si>
  <si>
    <t xml:space="preserve">Davi Dias</t>
  </si>
  <si>
    <t xml:space="preserve">Sebastião</t>
  </si>
  <si>
    <t xml:space="preserve">(11) 94285-1843</t>
  </si>
  <si>
    <t xml:space="preserve">Davi Dias Meuquior</t>
  </si>
  <si>
    <t xml:space="preserve">Carlos Dias Mouquior</t>
  </si>
  <si>
    <t xml:space="preserve">Davi Lucas Dasilva Campos</t>
  </si>
  <si>
    <t xml:space="preserve">Betania Cristina</t>
  </si>
  <si>
    <t xml:space="preserve">Davi Magalhaes</t>
  </si>
  <si>
    <t xml:space="preserve">Maiara Magalhaes</t>
  </si>
  <si>
    <t xml:space="preserve">(11) 98571-6036</t>
  </si>
  <si>
    <t xml:space="preserve">Santa Mariana</t>
  </si>
  <si>
    <t xml:space="preserve">Davi Rodrigues Sabino</t>
  </si>
  <si>
    <t xml:space="preserve">Paulo Vinicius</t>
  </si>
  <si>
    <t xml:space="preserve">Davi Sabino de Jesus da Silva</t>
  </si>
  <si>
    <t xml:space="preserve">Manoel Sabino de Jesus da Silva</t>
  </si>
  <si>
    <t xml:space="preserve">Elena Lopes</t>
  </si>
  <si>
    <t xml:space="preserve">Francisca Amorim</t>
  </si>
  <si>
    <t xml:space="preserve">97984-2929</t>
  </si>
  <si>
    <t xml:space="preserve">Também consta com o responsável Juselino Rodrigues (tel. 9623138).</t>
  </si>
  <si>
    <t xml:space="preserve">Emilly Sophia de Souza</t>
  </si>
  <si>
    <t xml:space="preserve">Eliene Pereira</t>
  </si>
  <si>
    <t xml:space="preserve">97674-9894</t>
  </si>
  <si>
    <t xml:space="preserve">Emily Melo de Oliveira</t>
  </si>
  <si>
    <t xml:space="preserve">Deise Melo</t>
  </si>
  <si>
    <t xml:space="preserve">9759-8735</t>
  </si>
  <si>
    <t xml:space="preserve">Enrico Barros Freitas</t>
  </si>
  <si>
    <t xml:space="preserve">Diego Freitas</t>
  </si>
  <si>
    <t xml:space="preserve">(11) 93143-9971</t>
  </si>
  <si>
    <t xml:space="preserve">Esther Alves Nunes</t>
  </si>
  <si>
    <t xml:space="preserve">Gilvana Ana</t>
  </si>
  <si>
    <t xml:space="preserve">95050-6690</t>
  </si>
  <si>
    <t xml:space="preserve">Também consta como "Ester", com responsável Cassiana Alves Nunes (95426-8373).</t>
  </si>
  <si>
    <t xml:space="preserve">Fabio Emanuel de Oliveira Neves</t>
  </si>
  <si>
    <t xml:space="preserve">Fabio de Oliveira Neves</t>
  </si>
  <si>
    <t xml:space="preserve">(11) 94026-0473</t>
  </si>
  <si>
    <t xml:space="preserve">Felipe Gabriel Soares Lima</t>
  </si>
  <si>
    <t xml:space="preserve">Maria Daniela Soares Lima</t>
  </si>
  <si>
    <t xml:space="preserve">(11) 96561-0103</t>
  </si>
  <si>
    <t xml:space="preserve">Sim</t>
  </si>
  <si>
    <t xml:space="preserve">Marcado como autista na planilha.</t>
  </si>
  <si>
    <t xml:space="preserve">Fernanda Mendonça</t>
  </si>
  <si>
    <t xml:space="preserve">Aline Mendonça</t>
  </si>
  <si>
    <t xml:space="preserve">Gabriel Bezerra de Almeida</t>
  </si>
  <si>
    <t xml:space="preserve">Alessandra Cristina</t>
  </si>
  <si>
    <t xml:space="preserve">96201-8303</t>
  </si>
  <si>
    <t xml:space="preserve">Gabriel Moura da Silva</t>
  </si>
  <si>
    <t xml:space="preserve">Fernanda Aparecida</t>
  </si>
  <si>
    <t xml:space="preserve">96154-8660</t>
  </si>
  <si>
    <t xml:space="preserve">Gabriela Paes Oliviera</t>
  </si>
  <si>
    <t xml:space="preserve">Bruna Evelyn Paz Oliviera</t>
  </si>
  <si>
    <t xml:space="preserve">96891-8588</t>
  </si>
  <si>
    <t xml:space="preserve">Gabrielle Sophia Felinto</t>
  </si>
  <si>
    <t xml:space="preserve">Geraldina Silva Ferreira</t>
  </si>
  <si>
    <t xml:space="preserve">4146-1206</t>
  </si>
  <si>
    <t xml:space="preserve">Gael da Rocha Oliviera</t>
  </si>
  <si>
    <t xml:space="preserve">Renan de Oliveira Silva</t>
  </si>
  <si>
    <t xml:space="preserve">98229-7318</t>
  </si>
  <si>
    <t xml:space="preserve">Geovanna Coelho da Silva</t>
  </si>
  <si>
    <t xml:space="preserve">Ágatha Cristie</t>
  </si>
  <si>
    <t xml:space="preserve">96919-3489</t>
  </si>
  <si>
    <t xml:space="preserve">Giovanna Moraes</t>
  </si>
  <si>
    <t xml:space="preserve">Karina Moraes Porto</t>
  </si>
  <si>
    <t xml:space="preserve">98648-5911</t>
  </si>
  <si>
    <t xml:space="preserve">Guilherme Alves de Moura</t>
  </si>
  <si>
    <t xml:space="preserve">Noemi Conceição Moura</t>
  </si>
  <si>
    <t xml:space="preserve">97956-0860</t>
  </si>
  <si>
    <t xml:space="preserve">Gustavo Alves de Moura</t>
  </si>
  <si>
    <t xml:space="preserve">Helena Barbosa</t>
  </si>
  <si>
    <t xml:space="preserve">Gabrielly Lima Barbosa Almeida</t>
  </si>
  <si>
    <t xml:space="preserve">(11) 95122-8727</t>
  </si>
  <si>
    <t xml:space="preserve">Helena Massaroto</t>
  </si>
  <si>
    <t xml:space="preserve">Talita Massaroto</t>
  </si>
  <si>
    <t xml:space="preserve">Henrique Moises Rosa dos Santos</t>
  </si>
  <si>
    <t xml:space="preserve">Rodrigo Lemos dos Santos</t>
  </si>
  <si>
    <t xml:space="preserve">99360-1306</t>
  </si>
  <si>
    <t xml:space="preserve">Henry Lucca da Mota Zeferino</t>
  </si>
  <si>
    <t xml:space="preserve">Ines da Mota Zeferino</t>
  </si>
  <si>
    <t xml:space="preserve">Isaac Bezerra de Almeida</t>
  </si>
  <si>
    <t xml:space="preserve">Isaac Pinheiro dos Santos</t>
  </si>
  <si>
    <t xml:space="preserve">Debora Antunes Pinheiro dos Santos</t>
  </si>
  <si>
    <t xml:space="preserve">99700-6404</t>
  </si>
  <si>
    <t xml:space="preserve">Autismo informado por você como "Isaque da irmã Débora" (mãe: Débora Antunes). Confirmar se é este Isaac.</t>
  </si>
  <si>
    <t xml:space="preserve">Isabel Bernardino</t>
  </si>
  <si>
    <t xml:space="preserve">Isabela Olimpio</t>
  </si>
  <si>
    <t xml:space="preserve">Aline Vianna</t>
  </si>
  <si>
    <t xml:space="preserve">Diabetes</t>
  </si>
  <si>
    <t xml:space="preserve">Aba Abril (coluna Saúde): diabete.</t>
  </si>
  <si>
    <t xml:space="preserve">Isabela Santos Vieira</t>
  </si>
  <si>
    <t xml:space="preserve">Isabela Vitória</t>
  </si>
  <si>
    <t xml:space="preserve">Simone Angelino</t>
  </si>
  <si>
    <t xml:space="preserve">94023-2593</t>
  </si>
  <si>
    <t xml:space="preserve">Isabela Vitória Brito da Silva</t>
  </si>
  <si>
    <t xml:space="preserve">Mariana Soares Brito da Silva</t>
  </si>
  <si>
    <t xml:space="preserve">98612-2464</t>
  </si>
  <si>
    <t xml:space="preserve">Isabela Vitoria Moura da Silva</t>
  </si>
  <si>
    <t xml:space="preserve">Edna Silva de Moura Santos</t>
  </si>
  <si>
    <t xml:space="preserve">Isabella Barros Claro da Silva</t>
  </si>
  <si>
    <t xml:space="preserve">Joice Sanches Silva</t>
  </si>
  <si>
    <t xml:space="preserve">99487-8114</t>
  </si>
  <si>
    <t xml:space="preserve">Isabella Geraldelo Rovales</t>
  </si>
  <si>
    <t xml:space="preserve">Michel Fernando Rovales</t>
  </si>
  <si>
    <t xml:space="preserve">(11) 93047-5020</t>
  </si>
  <si>
    <t xml:space="preserve">Isabelle Sophia Felinto</t>
  </si>
  <si>
    <t xml:space="preserve">Isac Henrique Costa Barros</t>
  </si>
  <si>
    <t xml:space="preserve">Evelin Vitoria</t>
  </si>
  <si>
    <t xml:space="preserve">96067-3217</t>
  </si>
  <si>
    <t xml:space="preserve">Jd. Bolívar</t>
  </si>
  <si>
    <t xml:space="preserve">Isis Torquato Soares</t>
  </si>
  <si>
    <t xml:space="preserve">Maria Socorro Torquato</t>
  </si>
  <si>
    <t xml:space="preserve">96777-0026</t>
  </si>
  <si>
    <t xml:space="preserve">João Lucas Messias Oliveira</t>
  </si>
  <si>
    <t xml:space="preserve">Jordan Stefan Andrade de Deus</t>
  </si>
  <si>
    <t xml:space="preserve">Jose Luis Dias</t>
  </si>
  <si>
    <t xml:space="preserve">Helen Dias</t>
  </si>
  <si>
    <t xml:space="preserve">96523-3968</t>
  </si>
  <si>
    <t xml:space="preserve">Juan da Rocha Oliveira</t>
  </si>
  <si>
    <t xml:space="preserve">Julia Brizzola</t>
  </si>
  <si>
    <t xml:space="preserve">Tatiane Brizolla</t>
  </si>
  <si>
    <t xml:space="preserve">(11) 99427-2216</t>
  </si>
  <si>
    <t xml:space="preserve">Holanda / Pq. Santa Teresa</t>
  </si>
  <si>
    <t xml:space="preserve">Julia Eloise Soares Lima</t>
  </si>
  <si>
    <t xml:space="preserve">Julia Mendonça</t>
  </si>
  <si>
    <t xml:space="preserve">Josi Mendonça</t>
  </si>
  <si>
    <t xml:space="preserve">(11) 95815-2488</t>
  </si>
  <si>
    <t xml:space="preserve">Karoline Soares Pereira da Silva</t>
  </si>
  <si>
    <t xml:space="preserve">Valdelis Pereira da Silva</t>
  </si>
  <si>
    <t xml:space="preserve">Laila dos Santos Sa</t>
  </si>
  <si>
    <t xml:space="preserve">Cleide dos Santos</t>
  </si>
  <si>
    <t xml:space="preserve">(11) 9640-8598</t>
  </si>
  <si>
    <t xml:space="preserve">Lara Barbosa Chaves</t>
  </si>
  <si>
    <t xml:space="preserve">Thais Cristina Barbosa</t>
  </si>
  <si>
    <t xml:space="preserve">96803-9559</t>
  </si>
  <si>
    <t xml:space="preserve">Aba Abril (coluna Saúde): autismo.</t>
  </si>
  <si>
    <t xml:space="preserve">Lauany Vitória Balbino Moura</t>
  </si>
  <si>
    <t xml:space="preserve">Jenifer Moura</t>
  </si>
  <si>
    <t xml:space="preserve">91180-9168</t>
  </si>
  <si>
    <t xml:space="preserve">Laura de Oliveira Melo</t>
  </si>
  <si>
    <t xml:space="preserve">Felipe Marques de Melo</t>
  </si>
  <si>
    <t xml:space="preserve">98858-6307</t>
  </si>
  <si>
    <t xml:space="preserve">Laura Dias Guimarães</t>
  </si>
  <si>
    <t xml:space="preserve">Ariedine</t>
  </si>
  <si>
    <t xml:space="preserve">94855-3017</t>
  </si>
  <si>
    <t xml:space="preserve">Laura Nunes Mendes</t>
  </si>
  <si>
    <t xml:space="preserve">Leticia Carla Nunes Mendes</t>
  </si>
  <si>
    <t xml:space="preserve">97992-4926</t>
  </si>
  <si>
    <t xml:space="preserve">Jd. Joelma</t>
  </si>
  <si>
    <t xml:space="preserve">Laura Santana</t>
  </si>
  <si>
    <t xml:space="preserve">Leticia Felix</t>
  </si>
  <si>
    <t xml:space="preserve">Lorena Carapina</t>
  </si>
  <si>
    <t xml:space="preserve">Ana Flavia</t>
  </si>
  <si>
    <t xml:space="preserve">(11) 94740-0165</t>
  </si>
  <si>
    <t xml:space="preserve">Lorena Liz Firmino</t>
  </si>
  <si>
    <t xml:space="preserve">Daniele Firmino</t>
  </si>
  <si>
    <t xml:space="preserve">98210-7148</t>
  </si>
  <si>
    <t xml:space="preserve">Lorenzo Gabriel Marins</t>
  </si>
  <si>
    <t xml:space="preserve">Lucas Barbosa Chaves</t>
  </si>
  <si>
    <t xml:space="preserve">Luisa Ribeiro</t>
  </si>
  <si>
    <t xml:space="preserve">Bruna da Silva Ribeiro</t>
  </si>
  <si>
    <t xml:space="preserve">(11) 99467-0469</t>
  </si>
  <si>
    <t xml:space="preserve">Luiz Henrique Melo</t>
  </si>
  <si>
    <t xml:space="preserve">Luiz Miguel Maciel da Silva</t>
  </si>
  <si>
    <t xml:space="preserve">Heloise Beatriz Maciel</t>
  </si>
  <si>
    <t xml:space="preserve">Luna Magalhães</t>
  </si>
  <si>
    <t xml:space="preserve">Maely Barbosa Nascimento</t>
  </si>
  <si>
    <t xml:space="preserve">Marta Barbosa Nascimento</t>
  </si>
  <si>
    <t xml:space="preserve">94428-9193</t>
  </si>
  <si>
    <t xml:space="preserve">Restrição informada por você; a aba Abril indica "diabética".</t>
  </si>
  <si>
    <t xml:space="preserve">Maite</t>
  </si>
  <si>
    <t xml:space="preserve">Maria de Luz</t>
  </si>
  <si>
    <t xml:space="preserve">Maitê Magalhães</t>
  </si>
  <si>
    <t xml:space="preserve">Maite Magalhaes Oliveira</t>
  </si>
  <si>
    <t xml:space="preserve">Manuela Santos Azevedo</t>
  </si>
  <si>
    <t xml:space="preserve">Idaiana Azevedo</t>
  </si>
  <si>
    <t xml:space="preserve">94611-7283</t>
  </si>
  <si>
    <t xml:space="preserve">Márcio Eduardo da Silva Borgh</t>
  </si>
  <si>
    <t xml:space="preserve">Greyce Karen da Silva</t>
  </si>
  <si>
    <t xml:space="preserve">91310-0003</t>
  </si>
  <si>
    <t xml:space="preserve">Maria Cecília Gomes de Melo</t>
  </si>
  <si>
    <t xml:space="preserve">Elaine Cristina de Oliveira</t>
  </si>
  <si>
    <t xml:space="preserve">99738-0917</t>
  </si>
  <si>
    <t xml:space="preserve">Maria Clara Pereira</t>
  </si>
  <si>
    <t xml:space="preserve">Nazare</t>
  </si>
  <si>
    <t xml:space="preserve">Maria Eduarda da Silva Lima</t>
  </si>
  <si>
    <t xml:space="preserve">Maria Aparecida da Silva Lima</t>
  </si>
  <si>
    <t xml:space="preserve">Maria Eduarda Eugênio</t>
  </si>
  <si>
    <t xml:space="preserve">Douglas Eduardo Norato</t>
  </si>
  <si>
    <t xml:space="preserve">98784-0760</t>
  </si>
  <si>
    <t xml:space="preserve">Maria Esther Ferreira dos Anjos</t>
  </si>
  <si>
    <t xml:space="preserve">Alissane Ferreira Batista</t>
  </si>
  <si>
    <t xml:space="preserve">(11) 98335-6577</t>
  </si>
  <si>
    <t xml:space="preserve">Maria Vitória de Oliveira</t>
  </si>
  <si>
    <t xml:space="preserve">Aba Abril (coluna Saúde): diabética.</t>
  </si>
  <si>
    <t xml:space="preserve">Maria Vitoria Oliveira</t>
  </si>
  <si>
    <t xml:space="preserve">Ademilton Nascimento</t>
  </si>
  <si>
    <t xml:space="preserve">(11) 96512-4742</t>
  </si>
  <si>
    <t xml:space="preserve">Maria Vitória Vieira dos Santos</t>
  </si>
  <si>
    <t xml:space="preserve">Claudemilson dos Santos</t>
  </si>
  <si>
    <t xml:space="preserve">94833-4124</t>
  </si>
  <si>
    <t xml:space="preserve">Mariana dos Santos</t>
  </si>
  <si>
    <t xml:space="preserve">96140-8598</t>
  </si>
  <si>
    <t xml:space="preserve">Matheus Magalhães</t>
  </si>
  <si>
    <t xml:space="preserve">Marta Magalhães</t>
  </si>
  <si>
    <t xml:space="preserve">99587-4751</t>
  </si>
  <si>
    <t xml:space="preserve">Melissa Nascimento Grillo</t>
  </si>
  <si>
    <t xml:space="preserve">Maria Simone Nascimento Grillo</t>
  </si>
  <si>
    <t xml:space="preserve">96765-5542</t>
  </si>
  <si>
    <t xml:space="preserve">Alergia a avelã</t>
  </si>
  <si>
    <t xml:space="preserve">Aba Abril (coluna Saúde): alergia a avelã.</t>
  </si>
  <si>
    <t xml:space="preserve">Miguel Antoni Moura</t>
  </si>
  <si>
    <t xml:space="preserve">Miguel Brito</t>
  </si>
  <si>
    <t xml:space="preserve">Graziela Silva Brito</t>
  </si>
  <si>
    <t xml:space="preserve">(11) 96732-8317</t>
  </si>
  <si>
    <t xml:space="preserve">Jd. Novo Horizonte 1</t>
  </si>
  <si>
    <t xml:space="preserve">Miguel Britos Santana</t>
  </si>
  <si>
    <t xml:space="preserve">Miguel Brizola Santana</t>
  </si>
  <si>
    <t xml:space="preserve">Jessica Brizola</t>
  </si>
  <si>
    <t xml:space="preserve">(11) 99681-7615</t>
  </si>
  <si>
    <t xml:space="preserve">Miguel Ferreira</t>
  </si>
  <si>
    <t xml:space="preserve">Miguel Ramos Leme</t>
  </si>
  <si>
    <t xml:space="preserve">Miguel Vitório Freitas</t>
  </si>
  <si>
    <t xml:space="preserve">Rodrigo Vitório de Souza</t>
  </si>
  <si>
    <t xml:space="preserve">95800-9323</t>
  </si>
  <si>
    <t xml:space="preserve">Mirela Augusto</t>
  </si>
  <si>
    <t xml:space="preserve">Mirela Lima dos Santos Sá</t>
  </si>
  <si>
    <t xml:space="preserve">Nicolas Miguel</t>
  </si>
  <si>
    <t xml:space="preserve">Noemi Pereira Badanai</t>
  </si>
  <si>
    <t xml:space="preserve">Glauco Padanai</t>
  </si>
  <si>
    <t xml:space="preserve">5755-4568</t>
  </si>
  <si>
    <t xml:space="preserve">Autismo informado por você; a aba Abril também indica.</t>
  </si>
  <si>
    <t xml:space="preserve">Nohan Santos Nascimento</t>
  </si>
  <si>
    <t xml:space="preserve">Isabela Costa Nunes</t>
  </si>
  <si>
    <t xml:space="preserve">(11) 97739-6130</t>
  </si>
  <si>
    <t xml:space="preserve">Autismo informado por você; o nome também está marcado "(autista)" na planilha.</t>
  </si>
  <si>
    <t xml:space="preserve">Olivia Ferreira dos Anjos</t>
  </si>
  <si>
    <t xml:space="preserve">Pedro Euzébio Santana Costa</t>
  </si>
  <si>
    <t xml:space="preserve">Nerivaldo Vieira Araújo</t>
  </si>
  <si>
    <t xml:space="preserve">91336-5858</t>
  </si>
  <si>
    <t xml:space="preserve">Pyetro Davella Souza Lima</t>
  </si>
  <si>
    <t xml:space="preserve">Carina Davilla</t>
  </si>
  <si>
    <t xml:space="preserve">(11) 96721-4934</t>
  </si>
  <si>
    <t xml:space="preserve">Rafaela de Oliveira Chaves</t>
  </si>
  <si>
    <t xml:space="preserve">Tatiane Chaves</t>
  </si>
  <si>
    <t xml:space="preserve">9474-5733</t>
  </si>
  <si>
    <t xml:space="preserve">Restrição informada por você; falta informar qual.</t>
  </si>
  <si>
    <t xml:space="preserve">Raquel Oliveira</t>
  </si>
  <si>
    <t xml:space="preserve">Rebeca da Silva Vieira</t>
  </si>
  <si>
    <t xml:space="preserve">Leticia da Silva Vieira Nascimento</t>
  </si>
  <si>
    <t xml:space="preserve">(11) 95428-8930</t>
  </si>
  <si>
    <t xml:space="preserve">Rian Meireles Oliveira</t>
  </si>
  <si>
    <t xml:space="preserve">Ari de Carvalho Oliveira</t>
  </si>
  <si>
    <t xml:space="preserve">(11) 8843-1515</t>
  </si>
  <si>
    <t xml:space="preserve">Roger Roberto Gomes de Melo</t>
  </si>
  <si>
    <t xml:space="preserve">Salatiel Martins Toleto</t>
  </si>
  <si>
    <t xml:space="preserve">Andrea Martins Toleto</t>
  </si>
  <si>
    <t xml:space="preserve">Samuel Davi Martins</t>
  </si>
  <si>
    <t xml:space="preserve">Laércia Duarte</t>
  </si>
  <si>
    <t xml:space="preserve">96651-9632</t>
  </si>
  <si>
    <t xml:space="preserve">Samuel Lucas da Silva Campos</t>
  </si>
  <si>
    <t xml:space="preserve">(11) 99434-4647</t>
  </si>
  <si>
    <t xml:space="preserve">Sara Rodrigues</t>
  </si>
  <si>
    <t xml:space="preserve">Patrícia Regina Aguiar</t>
  </si>
  <si>
    <t xml:space="preserve">(11) 94435-0936</t>
  </si>
  <si>
    <t xml:space="preserve">Sofia Olimpio da Silva</t>
  </si>
  <si>
    <t xml:space="preserve">Elis Regina Olimpio da Silva</t>
  </si>
  <si>
    <t xml:space="preserve">(11) 9807-8472</t>
  </si>
  <si>
    <t xml:space="preserve">Theo da Silva Vieira Nascimento</t>
  </si>
  <si>
    <t xml:space="preserve">Diego Pereira</t>
  </si>
  <si>
    <t xml:space="preserve">98259-2274</t>
  </si>
  <si>
    <t xml:space="preserve">Theodora Ferreira Leandro</t>
  </si>
  <si>
    <t xml:space="preserve">Thiago Augusto dos Santos</t>
  </si>
  <si>
    <t xml:space="preserve">Natália Lauana</t>
  </si>
  <si>
    <t xml:space="preserve">96831-9289</t>
  </si>
  <si>
    <t xml:space="preserve">Tiago Lima Tobara</t>
  </si>
  <si>
    <t xml:space="preserve">Mirian Lima da Silva Tobara</t>
  </si>
  <si>
    <t xml:space="preserve">(11) 94032-9334</t>
  </si>
  <si>
    <t xml:space="preserve">Valentina Granzoti</t>
  </si>
  <si>
    <t xml:space="preserve">Victoria de Paula Pinheiro</t>
  </si>
  <si>
    <t xml:space="preserve">Sara Pinheiro</t>
  </si>
  <si>
    <t xml:space="preserve">Vitoria Mendonça</t>
  </si>
  <si>
    <t xml:space="preserve">Vitória Rodrigues Aguiar</t>
  </si>
  <si>
    <t xml:space="preserve">94435-0936</t>
  </si>
  <si>
    <t xml:space="preserve">Yuri Pereira dos Santos</t>
  </si>
  <si>
    <t xml:space="preserve">Katia Santos</t>
  </si>
  <si>
    <t xml:space="preserve">98036-4433</t>
  </si>
  <si>
    <t xml:space="preserve">Resumo da planilha de crianças do EBI</t>
  </si>
  <si>
    <t xml:space="preserve">Total de crianças</t>
  </si>
  <si>
    <t xml:space="preserve">Meninos (M)</t>
  </si>
  <si>
    <t xml:space="preserve">Meninas (F)</t>
  </si>
  <si>
    <t xml:space="preserve">Com autismo</t>
  </si>
  <si>
    <t xml:space="preserve">Com restrição alimentar</t>
  </si>
  <si>
    <t xml:space="preserve">Com congregação informada</t>
  </si>
  <si>
    <t xml:space="preserve">Sem data de nascimento</t>
  </si>
  <si>
    <t xml:space="preserve">Sem nome do responsável</t>
  </si>
  <si>
    <t xml:space="preserve">Sem telefone</t>
  </si>
  <si>
    <t xml:space="preserve">Crianças com alguma pendência</t>
  </si>
  <si>
    <t xml:space="preserve">Quantas crianças ficam conforme o mínimo de presenças</t>
  </si>
  <si>
    <t xml:space="preserve">Mínimo de presenças (edite o número)</t>
  </si>
  <si>
    <t xml:space="preserve">Crianças</t>
  </si>
  <si>
    <t xml:space="preserve">Critério usado: ficaram as crianças com pelo menos 1 presença registrada na planilha (jan a 1º sábado de jul/2026).</t>
  </si>
  <si>
    <t xml:space="preserve">As que não tiveram nenhuma presença estão na aba "Retiradas", para você conferir.</t>
  </si>
  <si>
    <t xml:space="preserve">De agosto a dezembro a planilha original não tem presenças preenchidas.</t>
  </si>
  <si>
    <t xml:space="preserve">Células amarelas na aba "Crianças" = dado obrigatório que falta. Laranja = restrição sem dizer qual.</t>
  </si>
  <si>
    <t xml:space="preserve">Restrição alimentar e autismo em branco = nenhuma informação recebida.</t>
  </si>
  <si>
    <t xml:space="preserve">A) Nomes que juntei em uma só criança (confirme os de certeza "Média")</t>
  </si>
  <si>
    <t xml:space="preserve">Ficou como</t>
  </si>
  <si>
    <t xml:space="preserve">Nomes encontrados na planilha</t>
  </si>
  <si>
    <t xml:space="preserve">Certeza</t>
  </si>
  <si>
    <t xml:space="preserve">Motivo</t>
  </si>
  <si>
    <t xml:space="preserve">ALICE SALVADOR ELIAS | ALICIA SALVADOR</t>
  </si>
  <si>
    <t xml:space="preserve">Média</t>
  </si>
  <si>
    <t xml:space="preserve">Nomes parecidos, nunca presentes no mesmo sábado; "Alicia Salvador" estava marcada para completar cadastro.</t>
  </si>
  <si>
    <t xml:space="preserve">ARTHUR DOS SANTOS | ARTHUR DOS SANTOS VIEIRA</t>
  </si>
  <si>
    <t xml:space="preserve">Cadastrado sem dados em abril e com nome completo em junho; sem presença no mesmo sábado.</t>
  </si>
  <si>
    <t xml:space="preserve">BEATRIZ MARTINS ARRUDA | MEATRIZ MARTINS ARRUDA</t>
  </si>
  <si>
    <t xml:space="preserve">Alta</t>
  </si>
  <si>
    <t xml:space="preserve">"Meatriz" é erro de digitação; mesmo telefone.</t>
  </si>
  <si>
    <t xml:space="preserve">BENJAMIM MARQUES | BENNJAMIN MARQUES</t>
  </si>
  <si>
    <t xml:space="preserve">Mesma data de nascimento, responsável e telefone.</t>
  </si>
  <si>
    <t xml:space="preserve">DAVI MAGALHAES | DAVI MAGALHÃES VILAR</t>
  </si>
  <si>
    <t xml:space="preserve">Mesma data de nascimento e telefone.</t>
  </si>
  <si>
    <t xml:space="preserve">ELENA LOPES | ELENA LOPES BATISTA | HELENA LOPES</t>
  </si>
  <si>
    <t xml:space="preserve">Mesma data de nascimento (20/02/2020), mas dois responsáveis: Francisca Amorim e Juselino Rodrigues. Usei Francisca (aparece em todos os meses).</t>
  </si>
  <si>
    <t xml:space="preserve">ESTER ALVES NUNES | ESTHER ALVES NUNES</t>
  </si>
  <si>
    <t xml:space="preserve">Duas linhas quase iguais, com responsáveis e telefones diferentes, nunca presentes no mesmo sábado. Usei a linha com data de nascimento.</t>
  </si>
  <si>
    <t xml:space="preserve">FELIPE GABRIEL SOARES | FELIPE GABRIEL SOARES LIMA</t>
  </si>
  <si>
    <t xml:space="preserve">Linha sem sobrenome e sem dados.</t>
  </si>
  <si>
    <t xml:space="preserve">GAEL DA ROCHA OLIVIERA | GAEL DA ROCJHA OLIVIERA</t>
  </si>
  <si>
    <t xml:space="preserve">Erro de digitação; mesma data de nascimento e responsável.</t>
  </si>
  <si>
    <t xml:space="preserve">GEOVANNA COELHO DA SILVA | GIOVANNA COELHO DA SILVA</t>
  </si>
  <si>
    <t xml:space="preserve">ISABELA OLIMPIO | ISABELLA OLIMPIO</t>
  </si>
  <si>
    <t xml:space="preserve">Mesmo responsável (Aline).</t>
  </si>
  <si>
    <t xml:space="preserve">ISABELA DOS SANTOS | ISABELA SANTOS VIEIRA</t>
  </si>
  <si>
    <t xml:space="preserve">Cadastrada sem dados em abril e com nome completo em junho; sem presença no mesmo sábado.</t>
  </si>
  <si>
    <t xml:space="preserve">ISABELA VITÓRIA | ISABELLA VITÓRIA</t>
  </si>
  <si>
    <t xml:space="preserve">ISAAC HENRIQUE | ISAC HENRIQUE COSTA BARROS</t>
  </si>
  <si>
    <t xml:space="preserve">Mesma data de nascimento (24/06/2019). Nas linhas antigas o sexo estava F; usei M.</t>
  </si>
  <si>
    <t xml:space="preserve">JULIA ELOISE | JULIA ELOISE SOARES LIMA | JULIA HELOISE SOARES | JULIA HELOISE SOARES LIMA</t>
  </si>
  <si>
    <t xml:space="preserve">Mesma mãe. Uma linha traz nascimento 20/08/2021 e as outras 19/06/2018; usei 19/06/2018.</t>
  </si>
  <si>
    <t xml:space="preserve">LUISA RIBEIRO | LUIZA RIBEIRO</t>
  </si>
  <si>
    <t xml:space="preserve">PIETRO DAVILA | PYETRO DAVELLA SOUZA LIMA</t>
  </si>
  <si>
    <t xml:space="preserve">Nome parecido, sem presença no mesmo sábado; o primeiro cadastro estava sem dados.</t>
  </si>
  <si>
    <t xml:space="preserve">RIAN MEIRELES OLIVEIRA | RIAN MEIRELES OLIVVEIRA | RYAN MEIRELES OLIVVEIRA</t>
  </si>
  <si>
    <t xml:space="preserve">Erro de digitação; mesma data de nascimento, responsável e telefone.</t>
  </si>
  <si>
    <t xml:space="preserve">B) Nomes parecidos que mantive SEPARADOS (confirme se são a mesma criança)</t>
  </si>
  <si>
    <t xml:space="preserve">Criança 1</t>
  </si>
  <si>
    <t xml:space="preserve">Criança 2</t>
  </si>
  <si>
    <t xml:space="preserve">Por que fiquei em dúvida</t>
  </si>
  <si>
    <t xml:space="preserve">Davi Dias (resp. Sebastião)</t>
  </si>
  <si>
    <t xml:space="preserve">Davi Dias Meuquior (resp. Carlos Dias Mouquior)</t>
  </si>
  <si>
    <t xml:space="preserve">Sobrenome parecido, mas responsáveis e telefones diferentes.</t>
  </si>
  <si>
    <t xml:space="preserve">Davi Rodrigues Sabino (resp. Paulo Vinicius)</t>
  </si>
  <si>
    <t xml:space="preserve">Davi Sabino de Jesus da Silva (resp. Manoel Sabino)</t>
  </si>
  <si>
    <t xml:space="preserve">Sobrenome Sabino em comum; responsáveis diferentes.</t>
  </si>
  <si>
    <t xml:space="preserve">Miguel Brito (resp. Graziela Silva Brito)</t>
  </si>
  <si>
    <t xml:space="preserve">Mesma responsável em algumas linhas, mas datas de nascimento diferentes (2018 e 2016).</t>
  </si>
  <si>
    <t xml:space="preserve">Maitê (resp. Maria de Luz)</t>
  </si>
  <si>
    <t xml:space="preserve">Maitê Magalhães / Maitê Magalhães Oliveira</t>
  </si>
  <si>
    <t xml:space="preserve">Três registros com nome parecido; tiveram presença no mesmo sábado, então mantive separados.</t>
  </si>
  <si>
    <t xml:space="preserve">Maria Vitória Oliveira</t>
  </si>
  <si>
    <t xml:space="preserve">Nomes quase iguais, mas datas de nascimento e responsáveis diferentes.</t>
  </si>
  <si>
    <t xml:space="preserve">Mesmo primeiro nome; sem dados para comparar.</t>
  </si>
  <si>
    <t xml:space="preserve">C) Dados estranhos ou faltando na planilha original</t>
  </si>
  <si>
    <t xml:space="preserve">Assunto</t>
  </si>
  <si>
    <t xml:space="preserve">O que encontrei</t>
  </si>
  <si>
    <t xml:space="preserve">O que fiz</t>
  </si>
  <si>
    <t xml:space="preserve">Criança sem nome (aba Maio, linha 282)</t>
  </si>
  <si>
    <t xml:space="preserve">A célula do nome só tem "1". Sexo F, nascimento 06/03/2017, responsável Iraci Alves de Carvalho, 1 presença.</t>
  </si>
  <si>
    <t xml:space="preserve">Não entrou na lista principal. Se você souber o nome, é só me dizer que eu incluo.</t>
  </si>
  <si>
    <t xml:space="preserve">Data de nascimento 24/11/2026 (no futuro).</t>
  </si>
  <si>
    <t xml:space="preserve">Deixei a data em branco.</t>
  </si>
  <si>
    <t xml:space="preserve">Júlia Brizzola</t>
  </si>
  <si>
    <t xml:space="preserve">Sexo M na planilha, mas o nome é feminino.</t>
  </si>
  <si>
    <t xml:space="preserve">Mantive M como estava; confirme.</t>
  </si>
  <si>
    <t xml:space="preserve">Felipe Gabriel Soares Lima e Roger Roberto Gomes de Melo</t>
  </si>
  <si>
    <t xml:space="preserve">Nascimento 01/01/2014 e 01/01/2015: parecem datas provisórias.</t>
  </si>
  <si>
    <t xml:space="preserve">Mantive como estava.</t>
  </si>
  <si>
    <t xml:space="preserve">Isaque da irmã Débora</t>
  </si>
  <si>
    <t xml:space="preserve">Não há "Isaque" com responsável Débora; o mais provável é Isaac Pinheiro dos Santos (mãe Débora Antunes Pinheiro dos Santos).</t>
  </si>
  <si>
    <t xml:space="preserve">Marquei autismo nele. Confirme se é este.</t>
  </si>
  <si>
    <t xml:space="preserve">Laura Valentina Rodrigues Sales</t>
  </si>
  <si>
    <t xml:space="preserve">A aba Abril indica autismo, mas ela não tem nenhuma presença registrada.</t>
  </si>
  <si>
    <t xml:space="preserve">Ficou na aba "Retiradas".</t>
  </si>
  <si>
    <t xml:space="preserve">Você informou restrição alimentar, mas não sei qual.</t>
  </si>
  <si>
    <t xml:space="preserve">Deixei "Qual restrição" em branco (célula laranja).</t>
  </si>
  <si>
    <t xml:space="preserve">Sexo</t>
  </si>
  <si>
    <t xml:space="preserve">Telefone</t>
  </si>
  <si>
    <t xml:space="preserve">Presenças</t>
  </si>
  <si>
    <t xml:space="preserve">Observação</t>
  </si>
  <si>
    <t xml:space="preserve">Agatha Marques</t>
  </si>
  <si>
    <t xml:space="preserve">Ana Paula</t>
  </si>
  <si>
    <t xml:space="preserve">Agnes Bulhoes</t>
  </si>
  <si>
    <t xml:space="preserve">Geilza Bulhoes</t>
  </si>
  <si>
    <t xml:space="preserve">96210-6191</t>
  </si>
  <si>
    <t xml:space="preserve">Alice Liane O. Lenke</t>
  </si>
  <si>
    <t xml:space="preserve">Mariana D. Osório</t>
  </si>
  <si>
    <t xml:space="preserve">98315-9041</t>
  </si>
  <si>
    <t xml:space="preserve">Alicia Zahir Santana</t>
  </si>
  <si>
    <t xml:space="preserve">Simone Araujo</t>
  </si>
  <si>
    <t xml:space="preserve">98115-6307</t>
  </si>
  <si>
    <t xml:space="preserve">Alisson de Jesus Santos</t>
  </si>
  <si>
    <t xml:space="preserve">11966-5318</t>
  </si>
  <si>
    <t xml:space="preserve">Amabil Habasa</t>
  </si>
  <si>
    <t xml:space="preserve">Edson Moises Alves</t>
  </si>
  <si>
    <t xml:space="preserve">(94) 6557-5722</t>
  </si>
  <si>
    <t xml:space="preserve">Ana Carolyne Almeida Lima</t>
  </si>
  <si>
    <t xml:space="preserve">Ir. Débora Pereira</t>
  </si>
  <si>
    <t xml:space="preserve">99516-0118</t>
  </si>
  <si>
    <t xml:space="preserve">Ana Clara</t>
  </si>
  <si>
    <t xml:space="preserve">(11) 99587-4751</t>
  </si>
  <si>
    <t xml:space="preserve">Ana Clara Cardosa da Silva</t>
  </si>
  <si>
    <t xml:space="preserve">Maria Salvani</t>
  </si>
  <si>
    <t xml:space="preserve">Ana Clara da Silva Ribeiro</t>
  </si>
  <si>
    <t xml:space="preserve">Jaqueline Alves da Silva Ribeiro</t>
  </si>
  <si>
    <t xml:space="preserve">(11) 94725-9974</t>
  </si>
  <si>
    <t xml:space="preserve">Ana Clara Gonçalves de Alencar</t>
  </si>
  <si>
    <t xml:space="preserve">Patricia Regina</t>
  </si>
  <si>
    <t xml:space="preserve">94435-0636</t>
  </si>
  <si>
    <t xml:space="preserve">Ana Flavia Oliveira Pires</t>
  </si>
  <si>
    <t xml:space="preserve">Daniele de Freitas Santos</t>
  </si>
  <si>
    <t xml:space="preserve">98449-8852</t>
  </si>
  <si>
    <t xml:space="preserve">Ana Vitoria Oliveira Santos</t>
  </si>
  <si>
    <t xml:space="preserve">Ana Vitória Oliveira</t>
  </si>
  <si>
    <t xml:space="preserve">(11) 95649-5684</t>
  </si>
  <si>
    <t xml:space="preserve">Anthoni Gabriel Passos</t>
  </si>
  <si>
    <t xml:space="preserve">Barbara Luana</t>
  </si>
  <si>
    <t xml:space="preserve">(73) 99920-4642</t>
  </si>
  <si>
    <t xml:space="preserve">Arthur Coelho Ponte</t>
  </si>
  <si>
    <t xml:space="preserve">Arthur Luis Alexandre Estevo</t>
  </si>
  <si>
    <t xml:space="preserve">Milena Estevo</t>
  </si>
  <si>
    <t xml:space="preserve">(11) 93451-7933</t>
  </si>
  <si>
    <t xml:space="preserve">Beatriz Manuela Valentim Lourenço</t>
  </si>
  <si>
    <t xml:space="preserve">Rosangela Valentim</t>
  </si>
  <si>
    <t xml:space="preserve">94329-7076</t>
  </si>
  <si>
    <t xml:space="preserve">Bernardo Leite Luciano</t>
  </si>
  <si>
    <t xml:space="preserve">Patricia Leite</t>
  </si>
  <si>
    <t xml:space="preserve">Breno Gael Silva</t>
  </si>
  <si>
    <t xml:space="preserve">Celia Silva</t>
  </si>
  <si>
    <t xml:space="preserve">(11) 98681-3733</t>
  </si>
  <si>
    <t xml:space="preserve">Bryan da Silva Oliveira</t>
  </si>
  <si>
    <t xml:space="preserve">Jessica Naiara</t>
  </si>
  <si>
    <t xml:space="preserve">99301-5716</t>
  </si>
  <si>
    <t xml:space="preserve">Catarina Fernandes Maques</t>
  </si>
  <si>
    <t xml:space="preserve">Dorvalino Marques de Oliveira</t>
  </si>
  <si>
    <t xml:space="preserve">(11) 98685-3977</t>
  </si>
  <si>
    <t xml:space="preserve">Clarice Benassi Laurino</t>
  </si>
  <si>
    <t xml:space="preserve">Ana Paula Benassi Rodrigues</t>
  </si>
  <si>
    <t xml:space="preserve">(91) 7641-3558</t>
  </si>
  <si>
    <t xml:space="preserve">Daniel da Silva Lopes</t>
  </si>
  <si>
    <t xml:space="preserve">Edilaine da Silva Lopes</t>
  </si>
  <si>
    <t xml:space="preserve">(96) 2475-3776</t>
  </si>
  <si>
    <t xml:space="preserve">Daniel Gade Pessoa Rodrigues</t>
  </si>
  <si>
    <t xml:space="preserve">Geane Pessoa</t>
  </si>
  <si>
    <t xml:space="preserve">(11) 94532-1151</t>
  </si>
  <si>
    <t xml:space="preserve">Daniel Rodrigues</t>
  </si>
  <si>
    <t xml:space="preserve">Josilene Mendes Rodrigues</t>
  </si>
  <si>
    <t xml:space="preserve">(11) 96403-3898</t>
  </si>
  <si>
    <t xml:space="preserve">Daniel Rodrigues Miguel de Oliveira</t>
  </si>
  <si>
    <t xml:space="preserve">Karoline Rodrigues Oliveira</t>
  </si>
  <si>
    <t xml:space="preserve">(11) 95882-2694</t>
  </si>
  <si>
    <t xml:space="preserve">Daniel Silva Barros</t>
  </si>
  <si>
    <t xml:space="preserve">Danielle Eduarda G dos Santos</t>
  </si>
  <si>
    <t xml:space="preserve">Josiele Gomes</t>
  </si>
  <si>
    <t xml:space="preserve">96084-6647</t>
  </si>
  <si>
    <t xml:space="preserve">Danielle Valentina de Bastos Vieira</t>
  </si>
  <si>
    <t xml:space="preserve">Deise Aparecida Vieira</t>
  </si>
  <si>
    <t xml:space="preserve">97017-6166</t>
  </si>
  <si>
    <t xml:space="preserve">Davi Arthur B</t>
  </si>
  <si>
    <t xml:space="preserve">Greyce</t>
  </si>
  <si>
    <t xml:space="preserve">9992-3578</t>
  </si>
  <si>
    <t xml:space="preserve">Davi Carlos Barreto</t>
  </si>
  <si>
    <t xml:space="preserve">Monica Barreto</t>
  </si>
  <si>
    <t xml:space="preserve">96362-7655</t>
  </si>
  <si>
    <t xml:space="preserve">Davi da Costa</t>
  </si>
  <si>
    <t xml:space="preserve">Andréia da Costa Cândido</t>
  </si>
  <si>
    <t xml:space="preserve">91913-0887</t>
  </si>
  <si>
    <t xml:space="preserve">Davi da Silva</t>
  </si>
  <si>
    <t xml:space="preserve">Jéssica Naiara</t>
  </si>
  <si>
    <t xml:space="preserve">Davi da Silva Lopes</t>
  </si>
  <si>
    <t xml:space="preserve">Davi Damas</t>
  </si>
  <si>
    <t xml:space="preserve">Dalva Regina</t>
  </si>
  <si>
    <t xml:space="preserve">(13) 99744-1541</t>
  </si>
  <si>
    <t xml:space="preserve">Davi Henrique da Silva</t>
  </si>
  <si>
    <t xml:space="preserve">Camila Pereira da Silva</t>
  </si>
  <si>
    <t xml:space="preserve">(11) 98627-1045</t>
  </si>
  <si>
    <t xml:space="preserve">Davi Miguel da Silva</t>
  </si>
  <si>
    <t xml:space="preserve">Davi Oliveira Santos</t>
  </si>
  <si>
    <t xml:space="preserve">Davi Santana</t>
  </si>
  <si>
    <t xml:space="preserve">Davi Santiana Stemp</t>
  </si>
  <si>
    <t xml:space="preserve">Derick Santana O.dos Santos</t>
  </si>
  <si>
    <t xml:space="preserve">Joseane Santana da Silva</t>
  </si>
  <si>
    <t xml:space="preserve">(11) 94149-5674</t>
  </si>
  <si>
    <t xml:space="preserve">Diana Soares</t>
  </si>
  <si>
    <t xml:space="preserve">Mikaela</t>
  </si>
  <si>
    <t xml:space="preserve">95919-8958</t>
  </si>
  <si>
    <t xml:space="preserve">Eduardo Damas</t>
  </si>
  <si>
    <t xml:space="preserve">Dalva Damas</t>
  </si>
  <si>
    <t xml:space="preserve">Eloa Cardoso</t>
  </si>
  <si>
    <t xml:space="preserve">Emanuelle Oliveira Nunes de Almeida</t>
  </si>
  <si>
    <t xml:space="preserve">Amanda Almeida</t>
  </si>
  <si>
    <t xml:space="preserve">93408-6727</t>
  </si>
  <si>
    <t xml:space="preserve">Emanuelly de Oliveira Viera</t>
  </si>
  <si>
    <t xml:space="preserve">Joyce</t>
  </si>
  <si>
    <t xml:space="preserve">Emilly Sofia Alves Paixão</t>
  </si>
  <si>
    <t xml:space="preserve">Kelly Alves Rita</t>
  </si>
  <si>
    <t xml:space="preserve">97645-2712</t>
  </si>
  <si>
    <t xml:space="preserve">Emily Vitoria Marcela de Souza</t>
  </si>
  <si>
    <t xml:space="preserve">Michele Vanessa Felix Estevo Barcelos</t>
  </si>
  <si>
    <t xml:space="preserve">(11) 98766-4940</t>
  </si>
  <si>
    <t xml:space="preserve">Enzo Phelipe Gomes da Silva</t>
  </si>
  <si>
    <t xml:space="preserve">Ester Ferreira de Lima Moreira</t>
  </si>
  <si>
    <t xml:space="preserve">Ester Vitoria Aguiar</t>
  </si>
  <si>
    <t xml:space="preserve">Esther Cardoso de Paiva</t>
  </si>
  <si>
    <t xml:space="preserve">Vera Lucia Gonçalves</t>
  </si>
  <si>
    <t xml:space="preserve">99465-8892</t>
  </si>
  <si>
    <t xml:space="preserve">Evillen Vitoria</t>
  </si>
  <si>
    <t xml:space="preserve">Lucia do Espirito Santo</t>
  </si>
  <si>
    <t xml:space="preserve">(11) 97199-6552</t>
  </si>
  <si>
    <t xml:space="preserve">Ezequiel Fiuza Machado</t>
  </si>
  <si>
    <t xml:space="preserve">Monica Fiuza Jorge</t>
  </si>
  <si>
    <t xml:space="preserve">(11) 96091-1689</t>
  </si>
  <si>
    <t xml:space="preserve">Felipe Gonzaga Rovaris</t>
  </si>
  <si>
    <t xml:space="preserve">Denise Rovaris</t>
  </si>
  <si>
    <t xml:space="preserve">(11) 99848-9033</t>
  </si>
  <si>
    <t xml:space="preserve">Felipe Leandro</t>
  </si>
  <si>
    <t xml:space="preserve">Vagner Camilo</t>
  </si>
  <si>
    <t xml:space="preserve">(11) 96562-2921</t>
  </si>
  <si>
    <t xml:space="preserve">Gabriel Arthur Mirandaalmeida</t>
  </si>
  <si>
    <t xml:space="preserve">Thais</t>
  </si>
  <si>
    <t xml:space="preserve">93341-8034</t>
  </si>
  <si>
    <t xml:space="preserve">Gabriel da Silva Lima</t>
  </si>
  <si>
    <t xml:space="preserve">Franciele Chaga da Silva</t>
  </si>
  <si>
    <t xml:space="preserve">Gabriel Monzane de Oliveira</t>
  </si>
  <si>
    <t xml:space="preserve">Mariana Monzane</t>
  </si>
  <si>
    <t xml:space="preserve">Gregory Almeida Lima</t>
  </si>
  <si>
    <t xml:space="preserve">Gustavo Miguel dos Santos</t>
  </si>
  <si>
    <t xml:space="preserve">Michele Vanessa Estevo</t>
  </si>
  <si>
    <t xml:space="preserve">98766-4940</t>
  </si>
  <si>
    <t xml:space="preserve">Haniel Micael Verciani de Farias</t>
  </si>
  <si>
    <t xml:space="preserve">Heitor Magalhães</t>
  </si>
  <si>
    <t xml:space="preserve">Heitor Oliveira</t>
  </si>
  <si>
    <t xml:space="preserve">Luzia</t>
  </si>
  <si>
    <t xml:space="preserve">(11) 97576-1605</t>
  </si>
  <si>
    <t xml:space="preserve">Heitor Pereira dos Santos</t>
  </si>
  <si>
    <t xml:space="preserve">Heitor Ribeiro Caetano</t>
  </si>
  <si>
    <t xml:space="preserve">Rosemeire Ribeiro Caetano</t>
  </si>
  <si>
    <t xml:space="preserve">(11) 96345-0246</t>
  </si>
  <si>
    <t xml:space="preserve">Heitor Souza Rodrigues</t>
  </si>
  <si>
    <t xml:space="preserve">Graziela Cristina de Souza</t>
  </si>
  <si>
    <t xml:space="preserve">94817-3997</t>
  </si>
  <si>
    <t xml:space="preserve">Helena Nunes</t>
  </si>
  <si>
    <t xml:space="preserve">(11) 98305-4246</t>
  </si>
  <si>
    <t xml:space="preserve">Helena Oliveira Costa</t>
  </si>
  <si>
    <t xml:space="preserve">Jermina Santos Costa</t>
  </si>
  <si>
    <t xml:space="preserve">91115-1752</t>
  </si>
  <si>
    <t xml:space="preserve">Helena Silva Marques</t>
  </si>
  <si>
    <t xml:space="preserve">Michele de Jesus Silva</t>
  </si>
  <si>
    <t xml:space="preserve">(11) 95820-6803</t>
  </si>
  <si>
    <t xml:space="preserve">Helena Vitrória</t>
  </si>
  <si>
    <t xml:space="preserve">Marilena Ssantos Lucio</t>
  </si>
  <si>
    <t xml:space="preserve">(31) 99435-6779</t>
  </si>
  <si>
    <t xml:space="preserve">Heloisa Chavier Alves</t>
  </si>
  <si>
    <t xml:space="preserve">Natalia Regina</t>
  </si>
  <si>
    <t xml:space="preserve">(11) 97861-0687</t>
  </si>
  <si>
    <t xml:space="preserve">Heloisa Coliane</t>
  </si>
  <si>
    <t xml:space="preserve">Claudice dos Santos</t>
  </si>
  <si>
    <t xml:space="preserve">(11) 98192-4804</t>
  </si>
  <si>
    <t xml:space="preserve">Heloisa Leani</t>
  </si>
  <si>
    <t xml:space="preserve">Claudia</t>
  </si>
  <si>
    <t xml:space="preserve">98192-4804</t>
  </si>
  <si>
    <t xml:space="preserve">Heloisa Lopes de Oliveira</t>
  </si>
  <si>
    <t xml:space="preserve">Heloísa Magalhães</t>
  </si>
  <si>
    <t xml:space="preserve">Heloisa Torquato</t>
  </si>
  <si>
    <t xml:space="preserve">Heloisa Vitoria da Silva</t>
  </si>
  <si>
    <t xml:space="preserve">Mariele O. Melo da Silva</t>
  </si>
  <si>
    <t xml:space="preserve">94669-0049</t>
  </si>
  <si>
    <t xml:space="preserve">Henrique de Souza Oliveira</t>
  </si>
  <si>
    <t xml:space="preserve">Sara de Souza Oliveira</t>
  </si>
  <si>
    <t xml:space="preserve">9596-1117</t>
  </si>
  <si>
    <t xml:space="preserve">Henrique Gabriel da Silva</t>
  </si>
  <si>
    <t xml:space="preserve">Fatima Sa Santos Souza</t>
  </si>
  <si>
    <t xml:space="preserve">98811-9309</t>
  </si>
  <si>
    <t xml:space="preserve">Henrique Oliveira</t>
  </si>
  <si>
    <t xml:space="preserve">Misaque de Oliveira</t>
  </si>
  <si>
    <t xml:space="preserve">(11) 94700-2489</t>
  </si>
  <si>
    <t xml:space="preserve">Henrique Silva</t>
  </si>
  <si>
    <t xml:space="preserve">9466-9004</t>
  </si>
  <si>
    <t xml:space="preserve">Henrique Silva Vieira</t>
  </si>
  <si>
    <t xml:space="preserve">Thais Cristina da Silva Vieira</t>
  </si>
  <si>
    <t xml:space="preserve">95947-8265</t>
  </si>
  <si>
    <t xml:space="preserve">Henrique Thiago Araujo</t>
  </si>
  <si>
    <t xml:space="preserve">Pablo Araújo</t>
  </si>
  <si>
    <t xml:space="preserve">98033-8723</t>
  </si>
  <si>
    <t xml:space="preserve">Hiago Faria Carvalho</t>
  </si>
  <si>
    <t xml:space="preserve">Marcelo Carvalho da Cruz</t>
  </si>
  <si>
    <t xml:space="preserve">(11) 98834-4114</t>
  </si>
  <si>
    <t xml:space="preserve">Isabela Faria de Melo</t>
  </si>
  <si>
    <t xml:space="preserve">Andreia Faria dos Santos</t>
  </si>
  <si>
    <t xml:space="preserve">95874-1339</t>
  </si>
  <si>
    <t xml:space="preserve">Isabela Pereira Rocha</t>
  </si>
  <si>
    <t xml:space="preserve">Marilene Pereira Rocha</t>
  </si>
  <si>
    <t xml:space="preserve">(11) 95905-0524</t>
  </si>
  <si>
    <t xml:space="preserve">Isabella Vitoria dos Santos**</t>
  </si>
  <si>
    <t xml:space="preserve">Isabelle Ferreira Oliveira</t>
  </si>
  <si>
    <t xml:space="preserve">Rose</t>
  </si>
  <si>
    <t xml:space="preserve">97052-5956</t>
  </si>
  <si>
    <t xml:space="preserve">Isac Pereira Rocha</t>
  </si>
  <si>
    <t xml:space="preserve">Isadora Pereira Rocha</t>
  </si>
  <si>
    <t xml:space="preserve">Isaque Emanuel Nascimento Silva</t>
  </si>
  <si>
    <t xml:space="preserve">Diogiones Cicero Sobrinho Filho</t>
  </si>
  <si>
    <t xml:space="preserve">(87) 99211-8075</t>
  </si>
  <si>
    <t xml:space="preserve">Izaque Emanuel Nascimento</t>
  </si>
  <si>
    <t xml:space="preserve">Dionisiens Cicero</t>
  </si>
  <si>
    <t xml:space="preserve">(11) 99211-8075</t>
  </si>
  <si>
    <t xml:space="preserve">Jhulia Emanuele S.o dos Santos</t>
  </si>
  <si>
    <t xml:space="preserve">João Vitor Araujo da Costa</t>
  </si>
  <si>
    <t xml:space="preserve">Samuel da Costa</t>
  </si>
  <si>
    <t xml:space="preserve">(11) 95131-3525</t>
  </si>
  <si>
    <t xml:space="preserve">Joao Vitor Rodrigues da Silva</t>
  </si>
  <si>
    <t xml:space="preserve">Edjane Maria da Silva</t>
  </si>
  <si>
    <t xml:space="preserve">96605-6372</t>
  </si>
  <si>
    <t xml:space="preserve">Jose Fernando Cardoso Teixeira</t>
  </si>
  <si>
    <t xml:space="preserve">Talita Janaina Cardoso Teixeira</t>
  </si>
  <si>
    <t xml:space="preserve">(11) 94752-7380</t>
  </si>
  <si>
    <t xml:space="preserve">Kael Estephan Ribeiro Vasconcelos</t>
  </si>
  <si>
    <t xml:space="preserve">Caroline Ribeiro Figueiredo</t>
  </si>
  <si>
    <t xml:space="preserve">93383-6775</t>
  </si>
  <si>
    <t xml:space="preserve">Kaique Breno Kika Ferreira</t>
  </si>
  <si>
    <t xml:space="preserve">Joel Ferreira</t>
  </si>
  <si>
    <t xml:space="preserve">(11) 95245-0199</t>
  </si>
  <si>
    <t xml:space="preserve">Ketlyn Vitoria</t>
  </si>
  <si>
    <t xml:space="preserve">Larissa Rodrigues de Areta</t>
  </si>
  <si>
    <t xml:space="preserve">Elaine Cristina Nascimento</t>
  </si>
  <si>
    <t xml:space="preserve">(11) 9978-0917</t>
  </si>
  <si>
    <t xml:space="preserve">Lauanny Ester Ribeiro Moraes</t>
  </si>
  <si>
    <t xml:space="preserve">Ana Paula Ribeiro de O Moraes</t>
  </si>
  <si>
    <t xml:space="preserve">93492-9503</t>
  </si>
  <si>
    <t xml:space="preserve">Ruama Rodrigues Jorge Moura</t>
  </si>
  <si>
    <t xml:space="preserve">(11) 98195-2521</t>
  </si>
  <si>
    <t xml:space="preserve">Aba Abril indica autismo (coluna Saúde).</t>
  </si>
  <si>
    <t xml:space="preserve">Lavinia Araujo Assunção</t>
  </si>
  <si>
    <t xml:space="preserve">Bruno Belo Assunção</t>
  </si>
  <si>
    <t xml:space="preserve">97359-9333</t>
  </si>
  <si>
    <t xml:space="preserve">Leonardo Vieira Fernandes</t>
  </si>
  <si>
    <t xml:space="preserve">Levi Gonçalves Jose Debarros</t>
  </si>
  <si>
    <t xml:space="preserve">Merilin</t>
  </si>
  <si>
    <t xml:space="preserve">98787-3391</t>
  </si>
  <si>
    <t xml:space="preserve">Lidia Portiolli de Barros</t>
  </si>
  <si>
    <t xml:space="preserve">Luciana Portiolli Gomes de Barrods</t>
  </si>
  <si>
    <t xml:space="preserve">Lorena Caroline Berçot dos Santos</t>
  </si>
  <si>
    <t xml:space="preserve">Amanda Caroline Berçot</t>
  </si>
  <si>
    <t xml:space="preserve">(11) 96089-2982</t>
  </si>
  <si>
    <t xml:space="preserve">Lorena Silva Valim</t>
  </si>
  <si>
    <t xml:space="preserve">Danieli da Silva</t>
  </si>
  <si>
    <t xml:space="preserve">98737-3853</t>
  </si>
  <si>
    <t xml:space="preserve">Louize Moraes Assunção</t>
  </si>
  <si>
    <t xml:space="preserve">Cláudia Talini</t>
  </si>
  <si>
    <t xml:space="preserve">98828-1237</t>
  </si>
  <si>
    <t xml:space="preserve">Luana Miranda</t>
  </si>
  <si>
    <t xml:space="preserve">Elaine Cristina</t>
  </si>
  <si>
    <t xml:space="preserve">9973-8017</t>
  </si>
  <si>
    <t xml:space="preserve">Maejori Nogueira</t>
  </si>
  <si>
    <t xml:space="preserve">Joana Oliveira</t>
  </si>
  <si>
    <t xml:space="preserve">(11) 99261-7994</t>
  </si>
  <si>
    <t xml:space="preserve">Maite Sophie da Silva Sobral</t>
  </si>
  <si>
    <t xml:space="preserve">Erica Thais da Silva Sobral</t>
  </si>
  <si>
    <t xml:space="preserve">93949-7013</t>
  </si>
  <si>
    <t xml:space="preserve">Manuella Barreto</t>
  </si>
  <si>
    <t xml:space="preserve">Mariana Andrade Pires</t>
  </si>
  <si>
    <t xml:space="preserve">Yanka Andrade dos Santos</t>
  </si>
  <si>
    <t xml:space="preserve">97077-8605</t>
  </si>
  <si>
    <t xml:space="preserve">Mariana dos Santos Gonçalves</t>
  </si>
  <si>
    <t xml:space="preserve">Deise</t>
  </si>
  <si>
    <t xml:space="preserve">Mariane Damas de Abreu</t>
  </si>
  <si>
    <t xml:space="preserve">Dalva Rodrigues</t>
  </si>
  <si>
    <t xml:space="preserve">Marina Borgue</t>
  </si>
  <si>
    <t xml:space="preserve">Gleice Borges Rodrigues</t>
  </si>
  <si>
    <t xml:space="preserve">Marina Vicentina</t>
  </si>
  <si>
    <t xml:space="preserve">Thiane Lima da Silva Oliveira</t>
  </si>
  <si>
    <t xml:space="preserve">(11) 98558-6411</t>
  </si>
  <si>
    <t xml:space="preserve">Mateo de Oliveira Costa</t>
  </si>
  <si>
    <t xml:space="preserve">Natanael Costa</t>
  </si>
  <si>
    <t xml:space="preserve">94937-5475</t>
  </si>
  <si>
    <t xml:space="preserve">Matheus Rodrigues da Silva</t>
  </si>
  <si>
    <t xml:space="preserve">Dijane Maria da Silva</t>
  </si>
  <si>
    <t xml:space="preserve">Micael Martins Toledo</t>
  </si>
  <si>
    <t xml:space="preserve">97645-5712</t>
  </si>
  <si>
    <t xml:space="preserve">Micaela Lune Santos de Moura</t>
  </si>
  <si>
    <t xml:space="preserve">Claudineia Maria dos Santos</t>
  </si>
  <si>
    <t xml:space="preserve">93366-9491</t>
  </si>
  <si>
    <t xml:space="preserve">Miguel Alves Letty</t>
  </si>
  <si>
    <t xml:space="preserve">Linda Dalva Martins</t>
  </si>
  <si>
    <t xml:space="preserve">99007-3332</t>
  </si>
  <si>
    <t xml:space="preserve">Miguel de Melo Leite</t>
  </si>
  <si>
    <t xml:space="preserve">Meriane Silva Leite</t>
  </si>
  <si>
    <t xml:space="preserve">99175-5071</t>
  </si>
  <si>
    <t xml:space="preserve">Miguel de Sousa Oliveira</t>
  </si>
  <si>
    <t xml:space="preserve">Miguel de Souza Oliveira</t>
  </si>
  <si>
    <t xml:space="preserve">Miguel Lima</t>
  </si>
  <si>
    <t xml:space="preserve">95720-0140</t>
  </si>
  <si>
    <t xml:space="preserve">Miguel Linhares Rocha</t>
  </si>
  <si>
    <t xml:space="preserve">Mayara Diana</t>
  </si>
  <si>
    <t xml:space="preserve">96504-6275</t>
  </si>
  <si>
    <t xml:space="preserve">Miguel Rodrigues de Oliveira</t>
  </si>
  <si>
    <t xml:space="preserve">Nicolly Freire</t>
  </si>
  <si>
    <t xml:space="preserve">Simone Grilo</t>
  </si>
  <si>
    <t xml:space="preserve">Paulo Henrique</t>
  </si>
  <si>
    <t xml:space="preserve">Cristina Sabino</t>
  </si>
  <si>
    <t xml:space="preserve">Pedro Henrique Antunes</t>
  </si>
  <si>
    <t xml:space="preserve">96735-6275</t>
  </si>
  <si>
    <t xml:space="preserve">Pietra Monteiro de Oliveira</t>
  </si>
  <si>
    <t xml:space="preserve">Elaina Cristina</t>
  </si>
  <si>
    <t xml:space="preserve">Raissa de Souza Araujo</t>
  </si>
  <si>
    <t xml:space="preserve">Simone de Souza Araujo</t>
  </si>
  <si>
    <t xml:space="preserve">94118-0223</t>
  </si>
  <si>
    <t xml:space="preserve">Raissa Emanuele da Silva Lima</t>
  </si>
  <si>
    <t xml:space="preserve">Rayra Soares</t>
  </si>
  <si>
    <t xml:space="preserve">Rebeca de Lima Gabriel</t>
  </si>
  <si>
    <t xml:space="preserve">Enediely Lima</t>
  </si>
  <si>
    <t xml:space="preserve">Rebeca Ferreira</t>
  </si>
  <si>
    <t xml:space="preserve">Rubian Ferreira</t>
  </si>
  <si>
    <t xml:space="preserve">Rhyan da Cruz Araujo</t>
  </si>
  <si>
    <t xml:space="preserve">Carla da Cruz Araujo</t>
  </si>
  <si>
    <t xml:space="preserve">Ryan de Jesus Rodrigues</t>
  </si>
  <si>
    <t xml:space="preserve">Aline de Jesus Rodrigues</t>
  </si>
  <si>
    <t xml:space="preserve">Sabrina Carvalho Arquera</t>
  </si>
  <si>
    <t xml:space="preserve">Natália Regina de Carvalho</t>
  </si>
  <si>
    <t xml:space="preserve">Samuel Assis</t>
  </si>
  <si>
    <t xml:space="preserve">Priscila Assis</t>
  </si>
  <si>
    <t xml:space="preserve">98874-3878</t>
  </si>
  <si>
    <t xml:space="preserve">Samuel do Nascimento Gomes</t>
  </si>
  <si>
    <t xml:space="preserve">Nátalli do Nascimento Gomes</t>
  </si>
  <si>
    <t xml:space="preserve">Sara</t>
  </si>
  <si>
    <t xml:space="preserve">Maria Aparecida Feitosa</t>
  </si>
  <si>
    <t xml:space="preserve">(11) 94548-4698</t>
  </si>
  <si>
    <t xml:space="preserve">Shophia Freire</t>
  </si>
  <si>
    <t xml:space="preserve">Karem Freire</t>
  </si>
  <si>
    <t xml:space="preserve">Sofia Avelino de Souza</t>
  </si>
  <si>
    <t xml:space="preserve">97861-0687</t>
  </si>
  <si>
    <t xml:space="preserve">Sofia dos Santos Estevão</t>
  </si>
  <si>
    <t xml:space="preserve">Sophia</t>
  </si>
  <si>
    <t xml:space="preserve">Sophia dos Santos</t>
  </si>
  <si>
    <t xml:space="preserve">Vanilde</t>
  </si>
  <si>
    <t xml:space="preserve">(11) 94803-5010</t>
  </si>
  <si>
    <t xml:space="preserve">Sophia dos Santos Gonçalves</t>
  </si>
  <si>
    <t xml:space="preserve">Deise Mariana</t>
  </si>
  <si>
    <t xml:space="preserve">95723-7740</t>
  </si>
  <si>
    <t xml:space="preserve">Sophia Ikaeda</t>
  </si>
  <si>
    <t xml:space="preserve">Sophia Manuella</t>
  </si>
  <si>
    <t xml:space="preserve">Ana Maria Melo</t>
  </si>
  <si>
    <t xml:space="preserve">96705-3405</t>
  </si>
  <si>
    <t xml:space="preserve">Stela Oliveira</t>
  </si>
  <si>
    <t xml:space="preserve">Veronica Oliveira</t>
  </si>
  <si>
    <t xml:space="preserve">Tamara Lemos</t>
  </si>
  <si>
    <t xml:space="preserve">Tatiane Lemos</t>
  </si>
  <si>
    <t xml:space="preserve">98634-3957</t>
  </si>
  <si>
    <t xml:space="preserve">Thalita Coelho</t>
  </si>
  <si>
    <t xml:space="preserve">Paula Coelho</t>
  </si>
  <si>
    <t xml:space="preserve">9460-5507</t>
  </si>
  <si>
    <t xml:space="preserve">Theodorode Souza</t>
  </si>
  <si>
    <t xml:space="preserve">Alessandra Souza</t>
  </si>
  <si>
    <t xml:space="preserve">94014-5530</t>
  </si>
  <si>
    <t xml:space="preserve">Thiago Araujo</t>
  </si>
  <si>
    <t xml:space="preserve">Micael Diogo</t>
  </si>
  <si>
    <t xml:space="preserve">Tomas de Andrade Leite##</t>
  </si>
  <si>
    <t xml:space="preserve">Carolina Pereira de Andrade</t>
  </si>
  <si>
    <t xml:space="preserve">Valentina Coelho Vascocelos</t>
  </si>
  <si>
    <t xml:space="preserve">Ana Paula Vascocelos</t>
  </si>
  <si>
    <t xml:space="preserve">96350-6438</t>
  </si>
  <si>
    <t xml:space="preserve">Valentina Guedes Silva</t>
  </si>
  <si>
    <t xml:space="preserve">Victoria D. da Silva</t>
  </si>
  <si>
    <t xml:space="preserve">(11) 96784-2010</t>
  </si>
  <si>
    <t xml:space="preserve">Vitor Alexandre Possani</t>
  </si>
  <si>
    <t xml:space="preserve">Suzan Camile</t>
  </si>
  <si>
    <t xml:space="preserve">(11) 95154-8059</t>
  </si>
  <si>
    <t xml:space="preserve">Vitoria Coelho Vascocelos</t>
  </si>
  <si>
    <t xml:space="preserve">(96) 3506-4338</t>
  </si>
  <si>
    <t xml:space="preserve">Willian Axel Miranda Almeida</t>
  </si>
  <si>
    <t xml:space="preserve">Yasmin Ribeiro Silva</t>
  </si>
  <si>
    <t xml:space="preserve">Danielly Valim</t>
  </si>
  <si>
    <t xml:space="preserve">Yasmin Vitoria</t>
  </si>
  <si>
    <t xml:space="preserve">Claudia Vitoria</t>
  </si>
  <si>
    <t xml:space="preserve">94714-2311</t>
  </si>
  <si>
    <t xml:space="preserve">Yuri Almeida dos Santos</t>
  </si>
  <si>
    <t xml:space="preserve">Zion Fiuza Machado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</si>
</sst>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6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s">
        <v>12</v>
      </c>
      <c r="B2" s="4" t="s">
        <v>13</v>
      </c>
      <c r="C2" s="5" t="n">
        <v>43865</v>
      </c>
      <c r="D2" s="3" t="s">
        <v>14</v>
      </c>
      <c r="E2" s="3" t="s">
        <v>15</v>
      </c>
      <c r="F2" s="3" t="s">
        <v>16</v>
      </c>
      <c r="G2" s="4"/>
      <c r="H2" s="3"/>
      <c r="I2" s="4"/>
      <c r="J2" s="4" t="n">
        <v>19</v>
      </c>
      <c r="K2" s="3" t="str">
        <f aca="false">TRIM(IF(B2="","sexo; ","")&amp;IF(C2="","data de nascimento; ","")&amp;IF(D2="","responsável; ","")&amp;IF(E2="","telefone; ","")&amp;IF(AND(G2="Sim",H2=""),"qual restrição; ",""))</f>
        <v/>
      </c>
      <c r="L2" s="6"/>
    </row>
    <row r="3" customFormat="false" ht="15" hidden="false" customHeight="false" outlineLevel="0" collapsed="false">
      <c r="A3" s="3" t="s">
        <v>17</v>
      </c>
      <c r="B3" s="4" t="s">
        <v>13</v>
      </c>
      <c r="C3" s="5"/>
      <c r="D3" s="3" t="s">
        <v>18</v>
      </c>
      <c r="E3" s="3" t="s">
        <v>19</v>
      </c>
      <c r="F3" s="3"/>
      <c r="G3" s="4"/>
      <c r="H3" s="3"/>
      <c r="I3" s="4"/>
      <c r="J3" s="4" t="n">
        <v>1</v>
      </c>
      <c r="K3" s="3" t="str">
        <f aca="false">TRIM(IF(B3="","sexo; ","")&amp;IF(C3="","data de nascimento; ","")&amp;IF(D3="","responsável; ","")&amp;IF(E3="","telefone; ","")&amp;IF(AND(G3="Sim",H3=""),"qual restrição; ",""))</f>
        <v>data de nascimento;</v>
      </c>
      <c r="L3" s="6"/>
    </row>
    <row r="4" customFormat="false" ht="15" hidden="false" customHeight="false" outlineLevel="0" collapsed="false">
      <c r="A4" s="3" t="s">
        <v>20</v>
      </c>
      <c r="B4" s="4" t="s">
        <v>13</v>
      </c>
      <c r="C4" s="5" t="n">
        <v>42682</v>
      </c>
      <c r="D4" s="3" t="s">
        <v>21</v>
      </c>
      <c r="E4" s="3" t="s">
        <v>22</v>
      </c>
      <c r="F4" s="3" t="s">
        <v>16</v>
      </c>
      <c r="G4" s="4"/>
      <c r="H4" s="3"/>
      <c r="I4" s="4"/>
      <c r="J4" s="4" t="n">
        <v>3</v>
      </c>
      <c r="K4" s="3" t="str">
        <f aca="false">TRIM(IF(B4="","sexo; ","")&amp;IF(C4="","data de nascimento; ","")&amp;IF(D4="","responsável; ","")&amp;IF(E4="","telefone; ","")&amp;IF(AND(G4="Sim",H4=""),"qual restrição; ",""))</f>
        <v/>
      </c>
      <c r="L4" s="6"/>
    </row>
    <row r="5" customFormat="false" ht="15" hidden="false" customHeight="false" outlineLevel="0" collapsed="false">
      <c r="A5" s="3" t="s">
        <v>23</v>
      </c>
      <c r="B5" s="4" t="s">
        <v>13</v>
      </c>
      <c r="C5" s="5" t="n">
        <v>41792</v>
      </c>
      <c r="D5" s="3" t="s">
        <v>24</v>
      </c>
      <c r="E5" s="3" t="s">
        <v>25</v>
      </c>
      <c r="F5" s="3"/>
      <c r="G5" s="4"/>
      <c r="H5" s="3"/>
      <c r="I5" s="4"/>
      <c r="J5" s="4" t="n">
        <v>1</v>
      </c>
      <c r="K5" s="3" t="str">
        <f aca="false">TRIM(IF(B5="","sexo; ","")&amp;IF(C5="","data de nascimento; ","")&amp;IF(D5="","responsável; ","")&amp;IF(E5="","telefone; ","")&amp;IF(AND(G5="Sim",H5=""),"qual restrição; ",""))</f>
        <v/>
      </c>
      <c r="L5" s="6"/>
    </row>
    <row r="6" customFormat="false" ht="15" hidden="false" customHeight="false" outlineLevel="0" collapsed="false">
      <c r="A6" s="3" t="s">
        <v>26</v>
      </c>
      <c r="B6" s="4" t="s">
        <v>13</v>
      </c>
      <c r="C6" s="5" t="n">
        <v>43444</v>
      </c>
      <c r="D6" s="3" t="s">
        <v>27</v>
      </c>
      <c r="E6" s="3" t="s">
        <v>28</v>
      </c>
      <c r="F6" s="3"/>
      <c r="G6" s="4"/>
      <c r="H6" s="3"/>
      <c r="I6" s="4"/>
      <c r="J6" s="4" t="n">
        <v>15</v>
      </c>
      <c r="K6" s="3" t="str">
        <f aca="false">TRIM(IF(B6="","sexo; ","")&amp;IF(C6="","data de nascimento; ","")&amp;IF(D6="","responsável; ","")&amp;IF(E6="","telefone; ","")&amp;IF(AND(G6="Sim",H6=""),"qual restrição; ",""))</f>
        <v/>
      </c>
      <c r="L6" s="6"/>
    </row>
    <row r="7" customFormat="false" ht="15" hidden="false" customHeight="false" outlineLevel="0" collapsed="false">
      <c r="A7" s="3" t="s">
        <v>29</v>
      </c>
      <c r="B7" s="4" t="s">
        <v>13</v>
      </c>
      <c r="C7" s="5" t="n">
        <v>41684</v>
      </c>
      <c r="D7" s="3" t="s">
        <v>30</v>
      </c>
      <c r="E7" s="3" t="s">
        <v>31</v>
      </c>
      <c r="F7" s="3"/>
      <c r="G7" s="4"/>
      <c r="H7" s="3"/>
      <c r="I7" s="4"/>
      <c r="J7" s="4" t="n">
        <v>1</v>
      </c>
      <c r="K7" s="3" t="str">
        <f aca="false">TRIM(IF(B7="","sexo; ","")&amp;IF(C7="","data de nascimento; ","")&amp;IF(D7="","responsável; ","")&amp;IF(E7="","telefone; ","")&amp;IF(AND(G7="Sim",H7=""),"qual restrição; ",""))</f>
        <v/>
      </c>
      <c r="L7" s="6"/>
    </row>
    <row r="8" customFormat="false" ht="15" hidden="false" customHeight="false" outlineLevel="0" collapsed="false">
      <c r="A8" s="3" t="s">
        <v>32</v>
      </c>
      <c r="B8" s="4" t="s">
        <v>13</v>
      </c>
      <c r="C8" s="5" t="n">
        <v>44037</v>
      </c>
      <c r="D8" s="3" t="s">
        <v>33</v>
      </c>
      <c r="E8" s="3" t="s">
        <v>34</v>
      </c>
      <c r="F8" s="3" t="s">
        <v>35</v>
      </c>
      <c r="G8" s="4"/>
      <c r="H8" s="3"/>
      <c r="I8" s="4"/>
      <c r="J8" s="4" t="n">
        <v>1</v>
      </c>
      <c r="K8" s="3" t="str">
        <f aca="false">TRIM(IF(B8="","sexo; ","")&amp;IF(C8="","data de nascimento; ","")&amp;IF(D8="","responsável; ","")&amp;IF(E8="","telefone; ","")&amp;IF(AND(G8="Sim",H8=""),"qual restrição; ",""))</f>
        <v/>
      </c>
      <c r="L8" s="6"/>
    </row>
    <row r="9" customFormat="false" ht="15" hidden="false" customHeight="false" outlineLevel="0" collapsed="false">
      <c r="A9" s="3" t="s">
        <v>36</v>
      </c>
      <c r="B9" s="4" t="s">
        <v>13</v>
      </c>
      <c r="C9" s="5" t="n">
        <v>41708</v>
      </c>
      <c r="D9" s="3" t="s">
        <v>37</v>
      </c>
      <c r="E9" s="3" t="s">
        <v>38</v>
      </c>
      <c r="F9" s="3"/>
      <c r="G9" s="4"/>
      <c r="H9" s="3"/>
      <c r="I9" s="4"/>
      <c r="J9" s="4" t="n">
        <v>9</v>
      </c>
      <c r="K9" s="3" t="str">
        <f aca="false">TRIM(IF(B9="","sexo; ","")&amp;IF(C9="","data de nascimento; ","")&amp;IF(D9="","responsável; ","")&amp;IF(E9="","telefone; ","")&amp;IF(AND(G9="Sim",H9=""),"qual restrição; ",""))</f>
        <v/>
      </c>
      <c r="L9" s="6"/>
    </row>
    <row r="10" customFormat="false" ht="15" hidden="false" customHeight="false" outlineLevel="0" collapsed="false">
      <c r="A10" s="3" t="s">
        <v>39</v>
      </c>
      <c r="B10" s="4" t="s">
        <v>13</v>
      </c>
      <c r="C10" s="5" t="n">
        <v>42312</v>
      </c>
      <c r="D10" s="3" t="s">
        <v>40</v>
      </c>
      <c r="E10" s="3" t="s">
        <v>41</v>
      </c>
      <c r="F10" s="3"/>
      <c r="G10" s="4"/>
      <c r="H10" s="3"/>
      <c r="I10" s="4"/>
      <c r="J10" s="4" t="n">
        <v>3</v>
      </c>
      <c r="K10" s="3" t="str">
        <f aca="false">TRIM(IF(B10="","sexo; ","")&amp;IF(C10="","data de nascimento; ","")&amp;IF(D10="","responsável; ","")&amp;IF(E10="","telefone; ","")&amp;IF(AND(G10="Sim",H10=""),"qual restrição; ",""))</f>
        <v/>
      </c>
      <c r="L10" s="6"/>
    </row>
    <row r="11" customFormat="false" ht="15" hidden="false" customHeight="false" outlineLevel="0" collapsed="false">
      <c r="A11" s="3" t="s">
        <v>42</v>
      </c>
      <c r="B11" s="4" t="s">
        <v>43</v>
      </c>
      <c r="C11" s="5"/>
      <c r="D11" s="3" t="s">
        <v>44</v>
      </c>
      <c r="E11" s="3"/>
      <c r="F11" s="3"/>
      <c r="G11" s="4"/>
      <c r="H11" s="3"/>
      <c r="I11" s="4"/>
      <c r="J11" s="4" t="n">
        <v>1</v>
      </c>
      <c r="K11" s="3" t="str">
        <f aca="false">TRIM(IF(B11="","sexo; ","")&amp;IF(C11="","data de nascimento; ","")&amp;IF(D11="","responsável; ","")&amp;IF(E11="","telefone; ","")&amp;IF(AND(G11="Sim",H11=""),"qual restrição; ",""))</f>
        <v>data de nascimento; telefone;</v>
      </c>
      <c r="L11" s="6"/>
    </row>
    <row r="12" customFormat="false" ht="15" hidden="false" customHeight="false" outlineLevel="0" collapsed="false">
      <c r="A12" s="3" t="s">
        <v>45</v>
      </c>
      <c r="B12" s="4" t="s">
        <v>43</v>
      </c>
      <c r="C12" s="5" t="n">
        <v>41753</v>
      </c>
      <c r="D12" s="3" t="s">
        <v>46</v>
      </c>
      <c r="E12" s="3" t="s">
        <v>47</v>
      </c>
      <c r="F12" s="3"/>
      <c r="G12" s="4"/>
      <c r="H12" s="3"/>
      <c r="I12" s="4"/>
      <c r="J12" s="4" t="n">
        <v>1</v>
      </c>
      <c r="K12" s="3" t="str">
        <f aca="false">TRIM(IF(B12="","sexo; ","")&amp;IF(C12="","data de nascimento; ","")&amp;IF(D12="","responsável; ","")&amp;IF(E12="","telefone; ","")&amp;IF(AND(G12="Sim",H12=""),"qual restrição; ",""))</f>
        <v/>
      </c>
      <c r="L12" s="6"/>
    </row>
    <row r="13" customFormat="false" ht="15" hidden="false" customHeight="false" outlineLevel="0" collapsed="false">
      <c r="A13" s="3" t="s">
        <v>48</v>
      </c>
      <c r="B13" s="4" t="s">
        <v>43</v>
      </c>
      <c r="C13" s="5" t="n">
        <v>42954</v>
      </c>
      <c r="D13" s="3" t="s">
        <v>49</v>
      </c>
      <c r="E13" s="3" t="s">
        <v>50</v>
      </c>
      <c r="F13" s="3" t="s">
        <v>51</v>
      </c>
      <c r="G13" s="4"/>
      <c r="H13" s="3"/>
      <c r="I13" s="4"/>
      <c r="J13" s="4" t="n">
        <v>1</v>
      </c>
      <c r="K13" s="3" t="str">
        <f aca="false">TRIM(IF(B13="","sexo; ","")&amp;IF(C13="","data de nascimento; ","")&amp;IF(D13="","responsável; ","")&amp;IF(E13="","telefone; ","")&amp;IF(AND(G13="Sim",H13=""),"qual restrição; ",""))</f>
        <v/>
      </c>
      <c r="L13" s="6"/>
    </row>
    <row r="14" customFormat="false" ht="15" hidden="false" customHeight="false" outlineLevel="0" collapsed="false">
      <c r="A14" s="3" t="s">
        <v>52</v>
      </c>
      <c r="B14" s="4" t="s">
        <v>43</v>
      </c>
      <c r="C14" s="5" t="n">
        <v>43297</v>
      </c>
      <c r="D14" s="3" t="s">
        <v>53</v>
      </c>
      <c r="E14" s="3" t="s">
        <v>54</v>
      </c>
      <c r="F14" s="3"/>
      <c r="G14" s="4"/>
      <c r="H14" s="3"/>
      <c r="I14" s="4"/>
      <c r="J14" s="4" t="n">
        <v>3</v>
      </c>
      <c r="K14" s="3" t="str">
        <f aca="false">TRIM(IF(B14="","sexo; ","")&amp;IF(C14="","data de nascimento; ","")&amp;IF(D14="","responsável; ","")&amp;IF(E14="","telefone; ","")&amp;IF(AND(G14="Sim",H14=""),"qual restrição; ",""))</f>
        <v/>
      </c>
      <c r="L14" s="6"/>
    </row>
    <row r="15" customFormat="false" ht="15" hidden="false" customHeight="false" outlineLevel="0" collapsed="false">
      <c r="A15" s="3" t="s">
        <v>55</v>
      </c>
      <c r="B15" s="4" t="s">
        <v>43</v>
      </c>
      <c r="C15" s="5" t="n">
        <v>43069</v>
      </c>
      <c r="D15" s="3" t="s">
        <v>56</v>
      </c>
      <c r="E15" s="3" t="s">
        <v>57</v>
      </c>
      <c r="F15" s="3"/>
      <c r="G15" s="4"/>
      <c r="H15" s="3"/>
      <c r="I15" s="4"/>
      <c r="J15" s="4" t="n">
        <v>2</v>
      </c>
      <c r="K15" s="3" t="str">
        <f aca="false">TRIM(IF(B15="","sexo; ","")&amp;IF(C15="","data de nascimento; ","")&amp;IF(D15="","responsável; ","")&amp;IF(E15="","telefone; ","")&amp;IF(AND(G15="Sim",H15=""),"qual restrição; ",""))</f>
        <v/>
      </c>
      <c r="L15" s="6"/>
    </row>
    <row r="16" customFormat="false" ht="15" hidden="false" customHeight="false" outlineLevel="0" collapsed="false">
      <c r="A16" s="3" t="s">
        <v>58</v>
      </c>
      <c r="B16" s="4" t="s">
        <v>13</v>
      </c>
      <c r="C16" s="5" t="n">
        <v>43594</v>
      </c>
      <c r="D16" s="3" t="s">
        <v>59</v>
      </c>
      <c r="E16" s="3" t="s">
        <v>60</v>
      </c>
      <c r="F16" s="3"/>
      <c r="G16" s="4"/>
      <c r="H16" s="3"/>
      <c r="I16" s="4"/>
      <c r="J16" s="4" t="n">
        <v>11</v>
      </c>
      <c r="K16" s="3" t="str">
        <f aca="false">TRIM(IF(B16="","sexo; ","")&amp;IF(C16="","data de nascimento; ","")&amp;IF(D16="","responsável; ","")&amp;IF(E16="","telefone; ","")&amp;IF(AND(G16="Sim",H16=""),"qual restrição; ",""))</f>
        <v/>
      </c>
      <c r="L16" s="6"/>
    </row>
    <row r="17" customFormat="false" ht="15" hidden="false" customHeight="false" outlineLevel="0" collapsed="false">
      <c r="A17" s="3" t="s">
        <v>61</v>
      </c>
      <c r="B17" s="4" t="s">
        <v>13</v>
      </c>
      <c r="C17" s="5" t="n">
        <v>44248</v>
      </c>
      <c r="D17" s="3" t="s">
        <v>62</v>
      </c>
      <c r="E17" s="3" t="s">
        <v>63</v>
      </c>
      <c r="F17" s="3"/>
      <c r="G17" s="4"/>
      <c r="H17" s="3"/>
      <c r="I17" s="4"/>
      <c r="J17" s="4" t="n">
        <v>2</v>
      </c>
      <c r="K17" s="3" t="str">
        <f aca="false">TRIM(IF(B17="","sexo; ","")&amp;IF(C17="","data de nascimento; ","")&amp;IF(D17="","responsável; ","")&amp;IF(E17="","telefone; ","")&amp;IF(AND(G17="Sim",H17=""),"qual restrição; ",""))</f>
        <v/>
      </c>
      <c r="L17" s="6"/>
    </row>
    <row r="18" customFormat="false" ht="15" hidden="false" customHeight="false" outlineLevel="0" collapsed="false">
      <c r="A18" s="3" t="s">
        <v>64</v>
      </c>
      <c r="B18" s="4" t="s">
        <v>43</v>
      </c>
      <c r="C18" s="5" t="n">
        <v>44122</v>
      </c>
      <c r="D18" s="3" t="s">
        <v>65</v>
      </c>
      <c r="E18" s="3" t="s">
        <v>66</v>
      </c>
      <c r="F18" s="3"/>
      <c r="G18" s="4"/>
      <c r="H18" s="3"/>
      <c r="I18" s="4"/>
      <c r="J18" s="4" t="n">
        <v>8</v>
      </c>
      <c r="K18" s="3" t="str">
        <f aca="false">TRIM(IF(B18="","sexo; ","")&amp;IF(C18="","data de nascimento; ","")&amp;IF(D18="","responsável; ","")&amp;IF(E18="","telefone; ","")&amp;IF(AND(G18="Sim",H18=""),"qual restrição; ",""))</f>
        <v/>
      </c>
      <c r="L18" s="6"/>
    </row>
    <row r="19" customFormat="false" ht="15" hidden="false" customHeight="false" outlineLevel="0" collapsed="false">
      <c r="A19" s="3" t="s">
        <v>67</v>
      </c>
      <c r="B19" s="4" t="s">
        <v>43</v>
      </c>
      <c r="C19" s="5"/>
      <c r="D19" s="3"/>
      <c r="E19" s="3"/>
      <c r="F19" s="3"/>
      <c r="G19" s="4"/>
      <c r="H19" s="3"/>
      <c r="I19" s="4"/>
      <c r="J19" s="4" t="n">
        <v>1</v>
      </c>
      <c r="K19" s="3" t="str">
        <f aca="false">TRIM(IF(B19="","sexo; ","")&amp;IF(C19="","data de nascimento; ","")&amp;IF(D19="","responsável; ","")&amp;IF(E19="","telefone; ","")&amp;IF(AND(G19="Sim",H19=""),"qual restrição; ",""))</f>
        <v>data de nascimento; responsável; telefone;</v>
      </c>
      <c r="L19" s="6"/>
    </row>
    <row r="20" customFormat="false" ht="15" hidden="false" customHeight="false" outlineLevel="0" collapsed="false">
      <c r="A20" s="3" t="s">
        <v>68</v>
      </c>
      <c r="B20" s="4" t="s">
        <v>43</v>
      </c>
      <c r="C20" s="5" t="n">
        <v>43588</v>
      </c>
      <c r="D20" s="3" t="s">
        <v>69</v>
      </c>
      <c r="E20" s="3" t="s">
        <v>70</v>
      </c>
      <c r="F20" s="3" t="s">
        <v>16</v>
      </c>
      <c r="G20" s="4"/>
      <c r="H20" s="3"/>
      <c r="I20" s="4"/>
      <c r="J20" s="4" t="n">
        <v>5</v>
      </c>
      <c r="K20" s="3" t="str">
        <f aca="false">TRIM(IF(B20="","sexo; ","")&amp;IF(C20="","data de nascimento; ","")&amp;IF(D20="","responsável; ","")&amp;IF(E20="","telefone; ","")&amp;IF(AND(G20="Sim",H20=""),"qual restrição; ",""))</f>
        <v/>
      </c>
      <c r="L20" s="6"/>
    </row>
    <row r="21" customFormat="false" ht="15" hidden="false" customHeight="false" outlineLevel="0" collapsed="false">
      <c r="A21" s="3" t="s">
        <v>71</v>
      </c>
      <c r="B21" s="4" t="s">
        <v>13</v>
      </c>
      <c r="C21" s="5" t="n">
        <v>44514</v>
      </c>
      <c r="D21" s="3" t="s">
        <v>72</v>
      </c>
      <c r="E21" s="3" t="s">
        <v>73</v>
      </c>
      <c r="F21" s="3"/>
      <c r="G21" s="4"/>
      <c r="H21" s="3"/>
      <c r="I21" s="4"/>
      <c r="J21" s="4" t="n">
        <v>1</v>
      </c>
      <c r="K21" s="3" t="str">
        <f aca="false">TRIM(IF(B21="","sexo; ","")&amp;IF(C21="","data de nascimento; ","")&amp;IF(D21="","responsável; ","")&amp;IF(E21="","telefone; ","")&amp;IF(AND(G21="Sim",H21=""),"qual restrição; ",""))</f>
        <v/>
      </c>
      <c r="L21" s="6"/>
    </row>
    <row r="22" customFormat="false" ht="15" hidden="false" customHeight="false" outlineLevel="0" collapsed="false">
      <c r="A22" s="3" t="s">
        <v>74</v>
      </c>
      <c r="B22" s="4" t="s">
        <v>43</v>
      </c>
      <c r="C22" s="5" t="n">
        <v>41687</v>
      </c>
      <c r="D22" s="3" t="s">
        <v>75</v>
      </c>
      <c r="E22" s="3"/>
      <c r="F22" s="3" t="s">
        <v>76</v>
      </c>
      <c r="G22" s="4"/>
      <c r="H22" s="3"/>
      <c r="I22" s="4"/>
      <c r="J22" s="4" t="n">
        <v>1</v>
      </c>
      <c r="K22" s="3" t="str">
        <f aca="false">TRIM(IF(B22="","sexo; ","")&amp;IF(C22="","data de nascimento; ","")&amp;IF(D22="","responsável; ","")&amp;IF(E22="","telefone; ","")&amp;IF(AND(G22="Sim",H22=""),"qual restrição; ",""))</f>
        <v>telefone;</v>
      </c>
      <c r="L22" s="6"/>
    </row>
    <row r="23" customFormat="false" ht="15" hidden="false" customHeight="false" outlineLevel="0" collapsed="false">
      <c r="A23" s="3" t="s">
        <v>77</v>
      </c>
      <c r="B23" s="4" t="s">
        <v>43</v>
      </c>
      <c r="C23" s="5" t="n">
        <v>44133</v>
      </c>
      <c r="D23" s="3" t="s">
        <v>78</v>
      </c>
      <c r="E23" s="3" t="s">
        <v>79</v>
      </c>
      <c r="F23" s="3" t="s">
        <v>16</v>
      </c>
      <c r="G23" s="4"/>
      <c r="H23" s="3"/>
      <c r="I23" s="4"/>
      <c r="J23" s="4" t="n">
        <v>6</v>
      </c>
      <c r="K23" s="3" t="str">
        <f aca="false">TRIM(IF(B23="","sexo; ","")&amp;IF(C23="","data de nascimento; ","")&amp;IF(D23="","responsável; ","")&amp;IF(E23="","telefone; ","")&amp;IF(AND(G23="Sim",H23=""),"qual restrição; ",""))</f>
        <v/>
      </c>
      <c r="L23" s="6"/>
    </row>
    <row r="24" customFormat="false" ht="15" hidden="false" customHeight="false" outlineLevel="0" collapsed="false">
      <c r="A24" s="3" t="s">
        <v>80</v>
      </c>
      <c r="B24" s="4" t="s">
        <v>43</v>
      </c>
      <c r="C24" s="5"/>
      <c r="D24" s="3" t="s">
        <v>81</v>
      </c>
      <c r="E24" s="3" t="s">
        <v>82</v>
      </c>
      <c r="F24" s="3"/>
      <c r="G24" s="4"/>
      <c r="H24" s="3"/>
      <c r="I24" s="4"/>
      <c r="J24" s="4" t="n">
        <v>1</v>
      </c>
      <c r="K24" s="3" t="str">
        <f aca="false">TRIM(IF(B24="","sexo; ","")&amp;IF(C24="","data de nascimento; ","")&amp;IF(D24="","responsável; ","")&amp;IF(E24="","telefone; ","")&amp;IF(AND(G24="Sim",H24=""),"qual restrição; ",""))</f>
        <v>data de nascimento;</v>
      </c>
      <c r="L24" s="6" t="s">
        <v>83</v>
      </c>
    </row>
    <row r="25" customFormat="false" ht="15" hidden="false" customHeight="false" outlineLevel="0" collapsed="false">
      <c r="A25" s="3" t="s">
        <v>84</v>
      </c>
      <c r="B25" s="4" t="s">
        <v>43</v>
      </c>
      <c r="C25" s="5"/>
      <c r="D25" s="3" t="s">
        <v>85</v>
      </c>
      <c r="E25" s="3" t="s">
        <v>86</v>
      </c>
      <c r="F25" s="3"/>
      <c r="G25" s="4"/>
      <c r="H25" s="3"/>
      <c r="I25" s="4"/>
      <c r="J25" s="4" t="n">
        <v>1</v>
      </c>
      <c r="K25" s="3" t="str">
        <f aca="false">TRIM(IF(B25="","sexo; ","")&amp;IF(C25="","data de nascimento; ","")&amp;IF(D25="","responsável; ","")&amp;IF(E25="","telefone; ","")&amp;IF(AND(G25="Sim",H25=""),"qual restrição; ",""))</f>
        <v>data de nascimento;</v>
      </c>
      <c r="L25" s="6"/>
    </row>
    <row r="26" customFormat="false" ht="15" hidden="false" customHeight="false" outlineLevel="0" collapsed="false">
      <c r="A26" s="3" t="s">
        <v>87</v>
      </c>
      <c r="B26" s="4" t="s">
        <v>43</v>
      </c>
      <c r="C26" s="5"/>
      <c r="D26" s="3" t="s">
        <v>88</v>
      </c>
      <c r="E26" s="3" t="s">
        <v>89</v>
      </c>
      <c r="F26" s="3"/>
      <c r="G26" s="4"/>
      <c r="H26" s="3"/>
      <c r="I26" s="4"/>
      <c r="J26" s="4" t="n">
        <v>1</v>
      </c>
      <c r="K26" s="3" t="str">
        <f aca="false">TRIM(IF(B26="","sexo; ","")&amp;IF(C26="","data de nascimento; ","")&amp;IF(D26="","responsável; ","")&amp;IF(E26="","telefone; ","")&amp;IF(AND(G26="Sim",H26=""),"qual restrição; ",""))</f>
        <v>data de nascimento;</v>
      </c>
      <c r="L26" s="6"/>
    </row>
    <row r="27" customFormat="false" ht="15" hidden="false" customHeight="false" outlineLevel="0" collapsed="false">
      <c r="A27" s="3" t="s">
        <v>90</v>
      </c>
      <c r="B27" s="4" t="s">
        <v>43</v>
      </c>
      <c r="C27" s="5"/>
      <c r="D27" s="3" t="s">
        <v>91</v>
      </c>
      <c r="E27" s="3" t="s">
        <v>82</v>
      </c>
      <c r="F27" s="3"/>
      <c r="G27" s="4"/>
      <c r="H27" s="3"/>
      <c r="I27" s="4"/>
      <c r="J27" s="4" t="n">
        <v>1</v>
      </c>
      <c r="K27" s="3" t="str">
        <f aca="false">TRIM(IF(B27="","sexo; ","")&amp;IF(C27="","data de nascimento; ","")&amp;IF(D27="","responsável; ","")&amp;IF(E27="","telefone; ","")&amp;IF(AND(G27="Sim",H27=""),"qual restrição; ",""))</f>
        <v>data de nascimento;</v>
      </c>
      <c r="L27" s="6"/>
    </row>
    <row r="28" customFormat="false" ht="15" hidden="false" customHeight="false" outlineLevel="0" collapsed="false">
      <c r="A28" s="3" t="s">
        <v>92</v>
      </c>
      <c r="B28" s="4" t="s">
        <v>43</v>
      </c>
      <c r="C28" s="5"/>
      <c r="D28" s="3" t="s">
        <v>93</v>
      </c>
      <c r="E28" s="3"/>
      <c r="F28" s="3"/>
      <c r="G28" s="4"/>
      <c r="H28" s="3"/>
      <c r="I28" s="4"/>
      <c r="J28" s="4" t="n">
        <v>1</v>
      </c>
      <c r="K28" s="3" t="str">
        <f aca="false">TRIM(IF(B28="","sexo; ","")&amp;IF(C28="","data de nascimento; ","")&amp;IF(D28="","responsável; ","")&amp;IF(E28="","telefone; ","")&amp;IF(AND(G28="Sim",H28=""),"qual restrição; ",""))</f>
        <v>data de nascimento; telefone;</v>
      </c>
      <c r="L28" s="6"/>
    </row>
    <row r="29" customFormat="false" ht="15" hidden="false" customHeight="false" outlineLevel="0" collapsed="false">
      <c r="A29" s="3" t="s">
        <v>94</v>
      </c>
      <c r="B29" s="4" t="s">
        <v>43</v>
      </c>
      <c r="C29" s="5" t="n">
        <v>44941</v>
      </c>
      <c r="D29" s="3" t="s">
        <v>95</v>
      </c>
      <c r="E29" s="3" t="s">
        <v>96</v>
      </c>
      <c r="F29" s="3" t="s">
        <v>97</v>
      </c>
      <c r="G29" s="4"/>
      <c r="H29" s="3"/>
      <c r="I29" s="4"/>
      <c r="J29" s="4" t="n">
        <v>3</v>
      </c>
      <c r="K29" s="3" t="str">
        <f aca="false">TRIM(IF(B29="","sexo; ","")&amp;IF(C29="","data de nascimento; ","")&amp;IF(D29="","responsável; ","")&amp;IF(E29="","telefone; ","")&amp;IF(AND(G29="Sim",H29=""),"qual restrição; ",""))</f>
        <v/>
      </c>
      <c r="L29" s="6"/>
    </row>
    <row r="30" customFormat="false" ht="15" hidden="false" customHeight="false" outlineLevel="0" collapsed="false">
      <c r="A30" s="3" t="s">
        <v>98</v>
      </c>
      <c r="B30" s="4" t="s">
        <v>43</v>
      </c>
      <c r="C30" s="5"/>
      <c r="D30" s="3" t="s">
        <v>99</v>
      </c>
      <c r="E30" s="3"/>
      <c r="F30" s="3"/>
      <c r="G30" s="4"/>
      <c r="H30" s="3"/>
      <c r="I30" s="4"/>
      <c r="J30" s="4" t="n">
        <v>1</v>
      </c>
      <c r="K30" s="3" t="str">
        <f aca="false">TRIM(IF(B30="","sexo; ","")&amp;IF(C30="","data de nascimento; ","")&amp;IF(D30="","responsável; ","")&amp;IF(E30="","telefone; ","")&amp;IF(AND(G30="Sim",H30=""),"qual restrição; ",""))</f>
        <v>data de nascimento; telefone;</v>
      </c>
      <c r="L30" s="6"/>
    </row>
    <row r="31" customFormat="false" ht="15" hidden="false" customHeight="false" outlineLevel="0" collapsed="false">
      <c r="A31" s="3" t="s">
        <v>100</v>
      </c>
      <c r="B31" s="4" t="s">
        <v>43</v>
      </c>
      <c r="C31" s="5" t="n">
        <v>42905</v>
      </c>
      <c r="D31" s="3" t="s">
        <v>101</v>
      </c>
      <c r="E31" s="3"/>
      <c r="F31" s="3"/>
      <c r="G31" s="4"/>
      <c r="H31" s="3"/>
      <c r="I31" s="4"/>
      <c r="J31" s="4" t="n">
        <v>1</v>
      </c>
      <c r="K31" s="3" t="str">
        <f aca="false">TRIM(IF(B31="","sexo; ","")&amp;IF(C31="","data de nascimento; ","")&amp;IF(D31="","responsável; ","")&amp;IF(E31="","telefone; ","")&amp;IF(AND(G31="Sim",H31=""),"qual restrição; ",""))</f>
        <v>telefone;</v>
      </c>
      <c r="L31" s="6"/>
    </row>
    <row r="32" customFormat="false" ht="15" hidden="false" customHeight="false" outlineLevel="0" collapsed="false">
      <c r="A32" s="3" t="s">
        <v>102</v>
      </c>
      <c r="B32" s="4" t="s">
        <v>13</v>
      </c>
      <c r="C32" s="5" t="n">
        <v>43881</v>
      </c>
      <c r="D32" s="3" t="s">
        <v>103</v>
      </c>
      <c r="E32" s="3" t="s">
        <v>104</v>
      </c>
      <c r="F32" s="3"/>
      <c r="G32" s="4"/>
      <c r="H32" s="3"/>
      <c r="I32" s="4"/>
      <c r="J32" s="4" t="n">
        <v>16</v>
      </c>
      <c r="K32" s="3" t="str">
        <f aca="false">TRIM(IF(B32="","sexo; ","")&amp;IF(C32="","data de nascimento; ","")&amp;IF(D32="","responsável; ","")&amp;IF(E32="","telefone; ","")&amp;IF(AND(G32="Sim",H32=""),"qual restrição; ",""))</f>
        <v/>
      </c>
      <c r="L32" s="6" t="s">
        <v>105</v>
      </c>
    </row>
    <row r="33" customFormat="false" ht="15" hidden="false" customHeight="false" outlineLevel="0" collapsed="false">
      <c r="A33" s="3" t="s">
        <v>106</v>
      </c>
      <c r="B33" s="4" t="s">
        <v>13</v>
      </c>
      <c r="C33" s="5" t="n">
        <v>42192</v>
      </c>
      <c r="D33" s="3" t="s">
        <v>107</v>
      </c>
      <c r="E33" s="3" t="s">
        <v>108</v>
      </c>
      <c r="F33" s="3"/>
      <c r="G33" s="4"/>
      <c r="H33" s="3"/>
      <c r="I33" s="4"/>
      <c r="J33" s="4" t="n">
        <v>1</v>
      </c>
      <c r="K33" s="3" t="str">
        <f aca="false">TRIM(IF(B33="","sexo; ","")&amp;IF(C33="","data de nascimento; ","")&amp;IF(D33="","responsável; ","")&amp;IF(E33="","telefone; ","")&amp;IF(AND(G33="Sim",H33=""),"qual restrição; ",""))</f>
        <v/>
      </c>
      <c r="L33" s="6"/>
    </row>
    <row r="34" customFormat="false" ht="15" hidden="false" customHeight="false" outlineLevel="0" collapsed="false">
      <c r="A34" s="3" t="s">
        <v>109</v>
      </c>
      <c r="B34" s="4" t="s">
        <v>13</v>
      </c>
      <c r="C34" s="5" t="n">
        <v>43218</v>
      </c>
      <c r="D34" s="3" t="s">
        <v>110</v>
      </c>
      <c r="E34" s="3" t="s">
        <v>111</v>
      </c>
      <c r="F34" s="3"/>
      <c r="G34" s="4"/>
      <c r="H34" s="3"/>
      <c r="I34" s="4"/>
      <c r="J34" s="4" t="n">
        <v>6</v>
      </c>
      <c r="K34" s="3" t="str">
        <f aca="false">TRIM(IF(B34="","sexo; ","")&amp;IF(C34="","data de nascimento; ","")&amp;IF(D34="","responsável; ","")&amp;IF(E34="","telefone; ","")&amp;IF(AND(G34="Sim",H34=""),"qual restrição; ",""))</f>
        <v/>
      </c>
      <c r="L34" s="6"/>
    </row>
    <row r="35" customFormat="false" ht="15" hidden="false" customHeight="false" outlineLevel="0" collapsed="false">
      <c r="A35" s="3" t="s">
        <v>112</v>
      </c>
      <c r="B35" s="4" t="s">
        <v>43</v>
      </c>
      <c r="C35" s="5" t="n">
        <v>44962</v>
      </c>
      <c r="D35" s="3" t="s">
        <v>113</v>
      </c>
      <c r="E35" s="3" t="s">
        <v>114</v>
      </c>
      <c r="F35" s="3"/>
      <c r="G35" s="4"/>
      <c r="H35" s="3"/>
      <c r="I35" s="4"/>
      <c r="J35" s="4" t="n">
        <v>1</v>
      </c>
      <c r="K35" s="3" t="str">
        <f aca="false">TRIM(IF(B35="","sexo; ","")&amp;IF(C35="","data de nascimento; ","")&amp;IF(D35="","responsável; ","")&amp;IF(E35="","telefone; ","")&amp;IF(AND(G35="Sim",H35=""),"qual restrição; ",""))</f>
        <v/>
      </c>
      <c r="L35" s="6"/>
    </row>
    <row r="36" customFormat="false" ht="23.85" hidden="false" customHeight="false" outlineLevel="0" collapsed="false">
      <c r="A36" s="3" t="s">
        <v>115</v>
      </c>
      <c r="B36" s="4" t="s">
        <v>13</v>
      </c>
      <c r="C36" s="5" t="n">
        <v>43572</v>
      </c>
      <c r="D36" s="3" t="s">
        <v>116</v>
      </c>
      <c r="E36" s="3" t="s">
        <v>117</v>
      </c>
      <c r="F36" s="3"/>
      <c r="G36" s="4"/>
      <c r="H36" s="3"/>
      <c r="I36" s="4"/>
      <c r="J36" s="4" t="n">
        <v>6</v>
      </c>
      <c r="K36" s="3" t="str">
        <f aca="false">TRIM(IF(B36="","sexo; ","")&amp;IF(C36="","data de nascimento; ","")&amp;IF(D36="","responsável; ","")&amp;IF(E36="","telefone; ","")&amp;IF(AND(G36="Sim",H36=""),"qual restrição; ",""))</f>
        <v/>
      </c>
      <c r="L36" s="6" t="s">
        <v>118</v>
      </c>
    </row>
    <row r="37" customFormat="false" ht="15" hidden="false" customHeight="false" outlineLevel="0" collapsed="false">
      <c r="A37" s="3" t="s">
        <v>119</v>
      </c>
      <c r="B37" s="4" t="s">
        <v>43</v>
      </c>
      <c r="C37" s="5" t="n">
        <v>42680</v>
      </c>
      <c r="D37" s="3" t="s">
        <v>120</v>
      </c>
      <c r="E37" s="3" t="s">
        <v>121</v>
      </c>
      <c r="F37" s="3"/>
      <c r="G37" s="4"/>
      <c r="H37" s="3"/>
      <c r="I37" s="4"/>
      <c r="J37" s="4" t="n">
        <v>9</v>
      </c>
      <c r="K37" s="3" t="str">
        <f aca="false">TRIM(IF(B37="","sexo; ","")&amp;IF(C37="","data de nascimento; ","")&amp;IF(D37="","responsável; ","")&amp;IF(E37="","telefone; ","")&amp;IF(AND(G37="Sim",H37=""),"qual restrição; ",""))</f>
        <v/>
      </c>
      <c r="L37" s="6"/>
    </row>
    <row r="38" customFormat="false" ht="15" hidden="false" customHeight="false" outlineLevel="0" collapsed="false">
      <c r="A38" s="3" t="s">
        <v>122</v>
      </c>
      <c r="B38" s="4" t="s">
        <v>43</v>
      </c>
      <c r="C38" s="5" t="n">
        <v>41640</v>
      </c>
      <c r="D38" s="3" t="s">
        <v>123</v>
      </c>
      <c r="E38" s="3" t="s">
        <v>124</v>
      </c>
      <c r="F38" s="3" t="s">
        <v>16</v>
      </c>
      <c r="G38" s="4"/>
      <c r="H38" s="3"/>
      <c r="I38" s="4" t="s">
        <v>125</v>
      </c>
      <c r="J38" s="4" t="n">
        <v>18</v>
      </c>
      <c r="K38" s="3" t="str">
        <f aca="false">TRIM(IF(B38="","sexo; ","")&amp;IF(C38="","data de nascimento; ","")&amp;IF(D38="","responsável; ","")&amp;IF(E38="","telefone; ","")&amp;IF(AND(G38="Sim",H38=""),"qual restrição; ",""))</f>
        <v/>
      </c>
      <c r="L38" s="6" t="s">
        <v>126</v>
      </c>
    </row>
    <row r="39" customFormat="false" ht="15" hidden="false" customHeight="false" outlineLevel="0" collapsed="false">
      <c r="A39" s="3" t="s">
        <v>127</v>
      </c>
      <c r="B39" s="4" t="s">
        <v>13</v>
      </c>
      <c r="C39" s="5"/>
      <c r="D39" s="3" t="s">
        <v>128</v>
      </c>
      <c r="E39" s="3"/>
      <c r="F39" s="3"/>
      <c r="G39" s="4"/>
      <c r="H39" s="3"/>
      <c r="I39" s="4"/>
      <c r="J39" s="4" t="n">
        <v>1</v>
      </c>
      <c r="K39" s="3" t="str">
        <f aca="false">TRIM(IF(B39="","sexo; ","")&amp;IF(C39="","data de nascimento; ","")&amp;IF(D39="","responsável; ","")&amp;IF(E39="","telefone; ","")&amp;IF(AND(G39="Sim",H39=""),"qual restrição; ",""))</f>
        <v>data de nascimento; telefone;</v>
      </c>
      <c r="L39" s="6"/>
    </row>
    <row r="40" customFormat="false" ht="15" hidden="false" customHeight="false" outlineLevel="0" collapsed="false">
      <c r="A40" s="3" t="s">
        <v>129</v>
      </c>
      <c r="B40" s="4" t="s">
        <v>43</v>
      </c>
      <c r="C40" s="5" t="n">
        <v>44203</v>
      </c>
      <c r="D40" s="3" t="s">
        <v>130</v>
      </c>
      <c r="E40" s="3" t="s">
        <v>131</v>
      </c>
      <c r="F40" s="3"/>
      <c r="G40" s="4"/>
      <c r="H40" s="3"/>
      <c r="I40" s="4"/>
      <c r="J40" s="4" t="n">
        <v>3</v>
      </c>
      <c r="K40" s="3" t="str">
        <f aca="false">TRIM(IF(B40="","sexo; ","")&amp;IF(C40="","data de nascimento; ","")&amp;IF(D40="","responsável; ","")&amp;IF(E40="","telefone; ","")&amp;IF(AND(G40="Sim",H40=""),"qual restrição; ",""))</f>
        <v/>
      </c>
      <c r="L40" s="6"/>
    </row>
    <row r="41" customFormat="false" ht="15" hidden="false" customHeight="false" outlineLevel="0" collapsed="false">
      <c r="A41" s="3" t="s">
        <v>132</v>
      </c>
      <c r="B41" s="4" t="s">
        <v>43</v>
      </c>
      <c r="C41" s="5" t="n">
        <v>43801</v>
      </c>
      <c r="D41" s="3" t="s">
        <v>133</v>
      </c>
      <c r="E41" s="3" t="s">
        <v>134</v>
      </c>
      <c r="F41" s="3"/>
      <c r="G41" s="4"/>
      <c r="H41" s="3"/>
      <c r="I41" s="4"/>
      <c r="J41" s="4" t="n">
        <v>6</v>
      </c>
      <c r="K41" s="3" t="str">
        <f aca="false">TRIM(IF(B41="","sexo; ","")&amp;IF(C41="","data de nascimento; ","")&amp;IF(D41="","responsável; ","")&amp;IF(E41="","telefone; ","")&amp;IF(AND(G41="Sim",H41=""),"qual restrição; ",""))</f>
        <v/>
      </c>
      <c r="L41" s="6"/>
    </row>
    <row r="42" customFormat="false" ht="15" hidden="false" customHeight="false" outlineLevel="0" collapsed="false">
      <c r="A42" s="3" t="s">
        <v>135</v>
      </c>
      <c r="B42" s="4" t="s">
        <v>13</v>
      </c>
      <c r="C42" s="5" t="n">
        <v>42512</v>
      </c>
      <c r="D42" s="3" t="s">
        <v>136</v>
      </c>
      <c r="E42" s="3" t="s">
        <v>137</v>
      </c>
      <c r="F42" s="3"/>
      <c r="G42" s="4"/>
      <c r="H42" s="3"/>
      <c r="I42" s="4"/>
      <c r="J42" s="4" t="n">
        <v>6</v>
      </c>
      <c r="K42" s="3" t="str">
        <f aca="false">TRIM(IF(B42="","sexo; ","")&amp;IF(C42="","data de nascimento; ","")&amp;IF(D42="","responsável; ","")&amp;IF(E42="","telefone; ","")&amp;IF(AND(G42="Sim",H42=""),"qual restrição; ",""))</f>
        <v/>
      </c>
      <c r="L42" s="6"/>
    </row>
    <row r="43" customFormat="false" ht="15" hidden="false" customHeight="false" outlineLevel="0" collapsed="false">
      <c r="A43" s="3" t="s">
        <v>138</v>
      </c>
      <c r="B43" s="4" t="s">
        <v>13</v>
      </c>
      <c r="C43" s="5" t="n">
        <v>44542</v>
      </c>
      <c r="D43" s="3" t="s">
        <v>139</v>
      </c>
      <c r="E43" s="3" t="s">
        <v>140</v>
      </c>
      <c r="F43" s="3"/>
      <c r="G43" s="4"/>
      <c r="H43" s="3"/>
      <c r="I43" s="4"/>
      <c r="J43" s="4" t="n">
        <v>10</v>
      </c>
      <c r="K43" s="3" t="str">
        <f aca="false">TRIM(IF(B43="","sexo; ","")&amp;IF(C43="","data de nascimento; ","")&amp;IF(D43="","responsável; ","")&amp;IF(E43="","telefone; ","")&amp;IF(AND(G43="Sim",H43=""),"qual restrição; ",""))</f>
        <v/>
      </c>
      <c r="L43" s="6"/>
    </row>
    <row r="44" customFormat="false" ht="15" hidden="false" customHeight="false" outlineLevel="0" collapsed="false">
      <c r="A44" s="3" t="s">
        <v>141</v>
      </c>
      <c r="B44" s="4" t="s">
        <v>43</v>
      </c>
      <c r="C44" s="5" t="n">
        <v>43809</v>
      </c>
      <c r="D44" s="3" t="s">
        <v>142</v>
      </c>
      <c r="E44" s="3" t="s">
        <v>143</v>
      </c>
      <c r="F44" s="3"/>
      <c r="G44" s="4"/>
      <c r="H44" s="3"/>
      <c r="I44" s="4"/>
      <c r="J44" s="4" t="n">
        <v>13</v>
      </c>
      <c r="K44" s="3" t="str">
        <f aca="false">TRIM(IF(B44="","sexo; ","")&amp;IF(C44="","data de nascimento; ","")&amp;IF(D44="","responsável; ","")&amp;IF(E44="","telefone; ","")&amp;IF(AND(G44="Sim",H44=""),"qual restrição; ",""))</f>
        <v/>
      </c>
      <c r="L44" s="6"/>
    </row>
    <row r="45" customFormat="false" ht="15" hidden="false" customHeight="false" outlineLevel="0" collapsed="false">
      <c r="A45" s="3" t="s">
        <v>144</v>
      </c>
      <c r="B45" s="4" t="s">
        <v>13</v>
      </c>
      <c r="C45" s="5" t="n">
        <v>42427</v>
      </c>
      <c r="D45" s="3" t="s">
        <v>145</v>
      </c>
      <c r="E45" s="3" t="s">
        <v>146</v>
      </c>
      <c r="F45" s="3"/>
      <c r="G45" s="4"/>
      <c r="H45" s="3"/>
      <c r="I45" s="4"/>
      <c r="J45" s="4" t="n">
        <v>1</v>
      </c>
      <c r="K45" s="3" t="str">
        <f aca="false">TRIM(IF(B45="","sexo; ","")&amp;IF(C45="","data de nascimento; ","")&amp;IF(D45="","responsável; ","")&amp;IF(E45="","telefone; ","")&amp;IF(AND(G45="Sim",H45=""),"qual restrição; ",""))</f>
        <v/>
      </c>
      <c r="L45" s="6"/>
    </row>
    <row r="46" customFormat="false" ht="15" hidden="false" customHeight="false" outlineLevel="0" collapsed="false">
      <c r="A46" s="3" t="s">
        <v>147</v>
      </c>
      <c r="B46" s="4" t="s">
        <v>13</v>
      </c>
      <c r="C46" s="5" t="n">
        <v>43357</v>
      </c>
      <c r="D46" s="3" t="s">
        <v>148</v>
      </c>
      <c r="E46" s="3" t="s">
        <v>149</v>
      </c>
      <c r="F46" s="3"/>
      <c r="G46" s="4"/>
      <c r="H46" s="3"/>
      <c r="I46" s="4"/>
      <c r="J46" s="4" t="n">
        <v>4</v>
      </c>
      <c r="K46" s="3" t="str">
        <f aca="false">TRIM(IF(B46="","sexo; ","")&amp;IF(C46="","data de nascimento; ","")&amp;IF(D46="","responsável; ","")&amp;IF(E46="","telefone; ","")&amp;IF(AND(G46="Sim",H46=""),"qual restrição; ",""))</f>
        <v/>
      </c>
      <c r="L46" s="6"/>
    </row>
    <row r="47" customFormat="false" ht="15" hidden="false" customHeight="false" outlineLevel="0" collapsed="false">
      <c r="A47" s="3" t="s">
        <v>150</v>
      </c>
      <c r="B47" s="4" t="s">
        <v>43</v>
      </c>
      <c r="C47" s="5" t="n">
        <v>42375</v>
      </c>
      <c r="D47" s="3" t="s">
        <v>151</v>
      </c>
      <c r="E47" s="3" t="s">
        <v>152</v>
      </c>
      <c r="F47" s="3"/>
      <c r="G47" s="4"/>
      <c r="H47" s="3"/>
      <c r="I47" s="4"/>
      <c r="J47" s="4" t="n">
        <v>10</v>
      </c>
      <c r="K47" s="3" t="str">
        <f aca="false">TRIM(IF(B47="","sexo; ","")&amp;IF(C47="","data de nascimento; ","")&amp;IF(D47="","responsável; ","")&amp;IF(E47="","telefone; ","")&amp;IF(AND(G47="Sim",H47=""),"qual restrição; ",""))</f>
        <v/>
      </c>
      <c r="L47" s="6"/>
    </row>
    <row r="48" customFormat="false" ht="15" hidden="false" customHeight="false" outlineLevel="0" collapsed="false">
      <c r="A48" s="3" t="s">
        <v>153</v>
      </c>
      <c r="B48" s="4" t="s">
        <v>43</v>
      </c>
      <c r="C48" s="5" t="n">
        <v>42375</v>
      </c>
      <c r="D48" s="3" t="s">
        <v>151</v>
      </c>
      <c r="E48" s="3" t="s">
        <v>152</v>
      </c>
      <c r="F48" s="3"/>
      <c r="G48" s="4"/>
      <c r="H48" s="3"/>
      <c r="I48" s="4"/>
      <c r="J48" s="4" t="n">
        <v>7</v>
      </c>
      <c r="K48" s="3" t="str">
        <f aca="false">TRIM(IF(B48="","sexo; ","")&amp;IF(C48="","data de nascimento; ","")&amp;IF(D48="","responsável; ","")&amp;IF(E48="","telefone; ","")&amp;IF(AND(G48="Sim",H48=""),"qual restrição; ",""))</f>
        <v/>
      </c>
      <c r="L48" s="6"/>
    </row>
    <row r="49" customFormat="false" ht="15" hidden="false" customHeight="false" outlineLevel="0" collapsed="false">
      <c r="A49" s="3" t="s">
        <v>154</v>
      </c>
      <c r="B49" s="4" t="s">
        <v>13</v>
      </c>
      <c r="C49" s="5" t="n">
        <v>44942</v>
      </c>
      <c r="D49" s="3" t="s">
        <v>155</v>
      </c>
      <c r="E49" s="3" t="s">
        <v>156</v>
      </c>
      <c r="F49" s="3"/>
      <c r="G49" s="4"/>
      <c r="H49" s="3"/>
      <c r="I49" s="4"/>
      <c r="J49" s="4" t="n">
        <v>1</v>
      </c>
      <c r="K49" s="3" t="str">
        <f aca="false">TRIM(IF(B49="","sexo; ","")&amp;IF(C49="","data de nascimento; ","")&amp;IF(D49="","responsável; ","")&amp;IF(E49="","telefone; ","")&amp;IF(AND(G49="Sim",H49=""),"qual restrição; ",""))</f>
        <v/>
      </c>
      <c r="L49" s="6"/>
    </row>
    <row r="50" customFormat="false" ht="15" hidden="false" customHeight="false" outlineLevel="0" collapsed="false">
      <c r="A50" s="3" t="s">
        <v>157</v>
      </c>
      <c r="B50" s="4" t="s">
        <v>13</v>
      </c>
      <c r="C50" s="5" t="n">
        <v>42011</v>
      </c>
      <c r="D50" s="3" t="s">
        <v>158</v>
      </c>
      <c r="E50" s="3"/>
      <c r="F50" s="3"/>
      <c r="G50" s="4"/>
      <c r="H50" s="3"/>
      <c r="I50" s="4"/>
      <c r="J50" s="4" t="n">
        <v>1</v>
      </c>
      <c r="K50" s="3" t="str">
        <f aca="false">TRIM(IF(B50="","sexo; ","")&amp;IF(C50="","data de nascimento; ","")&amp;IF(D50="","responsável; ","")&amp;IF(E50="","telefone; ","")&amp;IF(AND(G50="Sim",H50=""),"qual restrição; ",""))</f>
        <v>telefone;</v>
      </c>
      <c r="L50" s="6"/>
    </row>
    <row r="51" customFormat="false" ht="15" hidden="false" customHeight="false" outlineLevel="0" collapsed="false">
      <c r="A51" s="3" t="s">
        <v>159</v>
      </c>
      <c r="B51" s="4" t="s">
        <v>43</v>
      </c>
      <c r="C51" s="5" t="n">
        <v>43388</v>
      </c>
      <c r="D51" s="3" t="s">
        <v>160</v>
      </c>
      <c r="E51" s="3" t="s">
        <v>161</v>
      </c>
      <c r="F51" s="3" t="s">
        <v>16</v>
      </c>
      <c r="G51" s="4"/>
      <c r="H51" s="3"/>
      <c r="I51" s="4"/>
      <c r="J51" s="4" t="n">
        <v>4</v>
      </c>
      <c r="K51" s="3" t="str">
        <f aca="false">TRIM(IF(B51="","sexo; ","")&amp;IF(C51="","data de nascimento; ","")&amp;IF(D51="","responsável; ","")&amp;IF(E51="","telefone; ","")&amp;IF(AND(G51="Sim",H51=""),"qual restrição; ",""))</f>
        <v/>
      </c>
      <c r="L51" s="6"/>
    </row>
    <row r="52" customFormat="false" ht="15" hidden="false" customHeight="false" outlineLevel="0" collapsed="false">
      <c r="A52" s="3" t="s">
        <v>162</v>
      </c>
      <c r="B52" s="4" t="s">
        <v>43</v>
      </c>
      <c r="C52" s="5" t="n">
        <v>44677</v>
      </c>
      <c r="D52" s="3" t="s">
        <v>163</v>
      </c>
      <c r="E52" s="3"/>
      <c r="F52" s="3"/>
      <c r="G52" s="4"/>
      <c r="H52" s="3"/>
      <c r="I52" s="4"/>
      <c r="J52" s="4" t="n">
        <v>1</v>
      </c>
      <c r="K52" s="3" t="str">
        <f aca="false">TRIM(IF(B52="","sexo; ","")&amp;IF(C52="","data de nascimento; ","")&amp;IF(D52="","responsável; ","")&amp;IF(E52="","telefone; ","")&amp;IF(AND(G52="Sim",H52=""),"qual restrição; ",""))</f>
        <v>telefone;</v>
      </c>
      <c r="L52" s="6"/>
    </row>
    <row r="53" customFormat="false" ht="15" hidden="false" customHeight="false" outlineLevel="0" collapsed="false">
      <c r="A53" s="3" t="s">
        <v>164</v>
      </c>
      <c r="B53" s="4" t="s">
        <v>43</v>
      </c>
      <c r="C53" s="5" t="n">
        <v>43046</v>
      </c>
      <c r="D53" s="3"/>
      <c r="E53" s="3" t="s">
        <v>121</v>
      </c>
      <c r="F53" s="3"/>
      <c r="G53" s="4"/>
      <c r="H53" s="3"/>
      <c r="I53" s="4"/>
      <c r="J53" s="4" t="n">
        <v>2</v>
      </c>
      <c r="K53" s="3" t="str">
        <f aca="false">TRIM(IF(B53="","sexo; ","")&amp;IF(C53="","data de nascimento; ","")&amp;IF(D53="","responsável; ","")&amp;IF(E53="","telefone; ","")&amp;IF(AND(G53="Sim",H53=""),"qual restrição; ",""))</f>
        <v>responsável;</v>
      </c>
      <c r="L53" s="6"/>
    </row>
    <row r="54" customFormat="false" ht="23.85" hidden="false" customHeight="false" outlineLevel="0" collapsed="false">
      <c r="A54" s="3" t="s">
        <v>165</v>
      </c>
      <c r="B54" s="4" t="s">
        <v>43</v>
      </c>
      <c r="C54" s="5" t="n">
        <v>43813</v>
      </c>
      <c r="D54" s="3" t="s">
        <v>166</v>
      </c>
      <c r="E54" s="3" t="s">
        <v>167</v>
      </c>
      <c r="F54" s="3"/>
      <c r="G54" s="4"/>
      <c r="H54" s="3"/>
      <c r="I54" s="4" t="s">
        <v>125</v>
      </c>
      <c r="J54" s="4" t="n">
        <v>15</v>
      </c>
      <c r="K54" s="3" t="str">
        <f aca="false">TRIM(IF(B54="","sexo; ","")&amp;IF(C54="","data de nascimento; ","")&amp;IF(D54="","responsável; ","")&amp;IF(E54="","telefone; ","")&amp;IF(AND(G54="Sim",H54=""),"qual restrição; ",""))</f>
        <v/>
      </c>
      <c r="L54" s="6" t="s">
        <v>168</v>
      </c>
    </row>
    <row r="55" customFormat="false" ht="15" hidden="false" customHeight="false" outlineLevel="0" collapsed="false">
      <c r="A55" s="3" t="s">
        <v>169</v>
      </c>
      <c r="B55" s="4" t="s">
        <v>13</v>
      </c>
      <c r="C55" s="5" t="n">
        <v>43245</v>
      </c>
      <c r="D55" s="3" t="s">
        <v>78</v>
      </c>
      <c r="E55" s="3" t="s">
        <v>79</v>
      </c>
      <c r="F55" s="3"/>
      <c r="G55" s="4"/>
      <c r="H55" s="3"/>
      <c r="I55" s="4"/>
      <c r="J55" s="4" t="n">
        <v>10</v>
      </c>
      <c r="K55" s="3" t="str">
        <f aca="false">TRIM(IF(B55="","sexo; ","")&amp;IF(C55="","data de nascimento; ","")&amp;IF(D55="","responsável; ","")&amp;IF(E55="","telefone; ","")&amp;IF(AND(G55="Sim",H55=""),"qual restrição; ",""))</f>
        <v/>
      </c>
      <c r="L55" s="6"/>
    </row>
    <row r="56" customFormat="false" ht="15" hidden="false" customHeight="false" outlineLevel="0" collapsed="false">
      <c r="A56" s="3" t="s">
        <v>170</v>
      </c>
      <c r="B56" s="4" t="s">
        <v>13</v>
      </c>
      <c r="C56" s="5"/>
      <c r="D56" s="3" t="s">
        <v>171</v>
      </c>
      <c r="E56" s="3"/>
      <c r="F56" s="3" t="s">
        <v>16</v>
      </c>
      <c r="G56" s="4" t="s">
        <v>125</v>
      </c>
      <c r="H56" s="3" t="s">
        <v>172</v>
      </c>
      <c r="I56" s="4"/>
      <c r="J56" s="4" t="n">
        <v>2</v>
      </c>
      <c r="K56" s="3" t="str">
        <f aca="false">TRIM(IF(B56="","sexo; ","")&amp;IF(C56="","data de nascimento; ","")&amp;IF(D56="","responsável; ","")&amp;IF(E56="","telefone; ","")&amp;IF(AND(G56="Sim",H56=""),"qual restrição; ",""))</f>
        <v>data de nascimento; telefone;</v>
      </c>
      <c r="L56" s="6" t="s">
        <v>173</v>
      </c>
    </row>
    <row r="57" customFormat="false" ht="15" hidden="false" customHeight="false" outlineLevel="0" collapsed="false">
      <c r="A57" s="3" t="s">
        <v>174</v>
      </c>
      <c r="B57" s="4" t="s">
        <v>13</v>
      </c>
      <c r="C57" s="5" t="n">
        <v>43835</v>
      </c>
      <c r="D57" s="3" t="s">
        <v>56</v>
      </c>
      <c r="E57" s="3" t="s">
        <v>57</v>
      </c>
      <c r="F57" s="3"/>
      <c r="G57" s="4"/>
      <c r="H57" s="3"/>
      <c r="I57" s="4"/>
      <c r="J57" s="4" t="n">
        <v>2</v>
      </c>
      <c r="K57" s="3" t="str">
        <f aca="false">TRIM(IF(B57="","sexo; ","")&amp;IF(C57="","data de nascimento; ","")&amp;IF(D57="","responsável; ","")&amp;IF(E57="","telefone; ","")&amp;IF(AND(G57="Sim",H57=""),"qual restrição; ",""))</f>
        <v/>
      </c>
      <c r="L57" s="6"/>
    </row>
    <row r="58" customFormat="false" ht="15" hidden="false" customHeight="false" outlineLevel="0" collapsed="false">
      <c r="A58" s="3" t="s">
        <v>175</v>
      </c>
      <c r="B58" s="4" t="s">
        <v>13</v>
      </c>
      <c r="C58" s="5" t="n">
        <v>44631</v>
      </c>
      <c r="D58" s="3" t="s">
        <v>176</v>
      </c>
      <c r="E58" s="3" t="s">
        <v>177</v>
      </c>
      <c r="F58" s="3"/>
      <c r="G58" s="4"/>
      <c r="H58" s="3"/>
      <c r="I58" s="4"/>
      <c r="J58" s="4" t="n">
        <v>1</v>
      </c>
      <c r="K58" s="3" t="str">
        <f aca="false">TRIM(IF(B58="","sexo; ","")&amp;IF(C58="","data de nascimento; ","")&amp;IF(D58="","responsável; ","")&amp;IF(E58="","telefone; ","")&amp;IF(AND(G58="Sim",H58=""),"qual restrição; ",""))</f>
        <v/>
      </c>
      <c r="L58" s="6"/>
    </row>
    <row r="59" customFormat="false" ht="15" hidden="false" customHeight="false" outlineLevel="0" collapsed="false">
      <c r="A59" s="3" t="s">
        <v>178</v>
      </c>
      <c r="B59" s="4" t="s">
        <v>13</v>
      </c>
      <c r="C59" s="5" t="n">
        <v>43289</v>
      </c>
      <c r="D59" s="3" t="s">
        <v>179</v>
      </c>
      <c r="E59" s="3" t="s">
        <v>180</v>
      </c>
      <c r="F59" s="3"/>
      <c r="G59" s="4"/>
      <c r="H59" s="3"/>
      <c r="I59" s="4"/>
      <c r="J59" s="4" t="n">
        <v>6</v>
      </c>
      <c r="K59" s="3" t="str">
        <f aca="false">TRIM(IF(B59="","sexo; ","")&amp;IF(C59="","data de nascimento; ","")&amp;IF(D59="","responsável; ","")&amp;IF(E59="","telefone; ","")&amp;IF(AND(G59="Sim",H59=""),"qual restrição; ",""))</f>
        <v/>
      </c>
      <c r="L59" s="6"/>
    </row>
    <row r="60" customFormat="false" ht="15" hidden="false" customHeight="false" outlineLevel="0" collapsed="false">
      <c r="A60" s="3" t="s">
        <v>181</v>
      </c>
      <c r="B60" s="4" t="s">
        <v>13</v>
      </c>
      <c r="C60" s="5"/>
      <c r="D60" s="3" t="s">
        <v>182</v>
      </c>
      <c r="E60" s="3" t="s">
        <v>134</v>
      </c>
      <c r="F60" s="3"/>
      <c r="G60" s="4"/>
      <c r="H60" s="3"/>
      <c r="I60" s="4"/>
      <c r="J60" s="4" t="n">
        <v>4</v>
      </c>
      <c r="K60" s="3" t="str">
        <f aca="false">TRIM(IF(B60="","sexo; ","")&amp;IF(C60="","data de nascimento; ","")&amp;IF(D60="","responsável; ","")&amp;IF(E60="","telefone; ","")&amp;IF(AND(G60="Sim",H60=""),"qual restrição; ",""))</f>
        <v>data de nascimento;</v>
      </c>
      <c r="L60" s="6"/>
    </row>
    <row r="61" customFormat="false" ht="15" hidden="false" customHeight="false" outlineLevel="0" collapsed="false">
      <c r="A61" s="3" t="s">
        <v>183</v>
      </c>
      <c r="B61" s="4" t="s">
        <v>13</v>
      </c>
      <c r="C61" s="5" t="n">
        <v>41823</v>
      </c>
      <c r="D61" s="3" t="s">
        <v>184</v>
      </c>
      <c r="E61" s="3" t="s">
        <v>185</v>
      </c>
      <c r="F61" s="3"/>
      <c r="G61" s="4"/>
      <c r="H61" s="3"/>
      <c r="I61" s="4"/>
      <c r="J61" s="4" t="n">
        <v>1</v>
      </c>
      <c r="K61" s="3" t="str">
        <f aca="false">TRIM(IF(B61="","sexo; ","")&amp;IF(C61="","data de nascimento; ","")&amp;IF(D61="","responsável; ","")&amp;IF(E61="","telefone; ","")&amp;IF(AND(G61="Sim",H61=""),"qual restrição; ",""))</f>
        <v/>
      </c>
      <c r="L61" s="6"/>
    </row>
    <row r="62" customFormat="false" ht="15" hidden="false" customHeight="false" outlineLevel="0" collapsed="false">
      <c r="A62" s="3" t="s">
        <v>186</v>
      </c>
      <c r="B62" s="4" t="s">
        <v>13</v>
      </c>
      <c r="C62" s="5" t="n">
        <v>43174</v>
      </c>
      <c r="D62" s="3" t="s">
        <v>187</v>
      </c>
      <c r="E62" s="3" t="s">
        <v>188</v>
      </c>
      <c r="F62" s="3"/>
      <c r="G62" s="4"/>
      <c r="H62" s="3"/>
      <c r="I62" s="4"/>
      <c r="J62" s="4" t="n">
        <v>1</v>
      </c>
      <c r="K62" s="3" t="str">
        <f aca="false">TRIM(IF(B62="","sexo; ","")&amp;IF(C62="","data de nascimento; ","")&amp;IF(D62="","responsável; ","")&amp;IF(E62="","telefone; ","")&amp;IF(AND(G62="Sim",H62=""),"qual restrição; ",""))</f>
        <v/>
      </c>
      <c r="L62" s="6"/>
    </row>
    <row r="63" customFormat="false" ht="15" hidden="false" customHeight="false" outlineLevel="0" collapsed="false">
      <c r="A63" s="3" t="s">
        <v>189</v>
      </c>
      <c r="B63" s="4" t="s">
        <v>13</v>
      </c>
      <c r="C63" s="5" t="n">
        <v>42643</v>
      </c>
      <c r="D63" s="3" t="s">
        <v>139</v>
      </c>
      <c r="E63" s="3" t="s">
        <v>140</v>
      </c>
      <c r="F63" s="3"/>
      <c r="G63" s="4"/>
      <c r="H63" s="3"/>
      <c r="I63" s="4"/>
      <c r="J63" s="4" t="n">
        <v>9</v>
      </c>
      <c r="K63" s="3" t="str">
        <f aca="false">TRIM(IF(B63="","sexo; ","")&amp;IF(C63="","data de nascimento; ","")&amp;IF(D63="","responsável; ","")&amp;IF(E63="","telefone; ","")&amp;IF(AND(G63="Sim",H63=""),"qual restrição; ",""))</f>
        <v/>
      </c>
      <c r="L63" s="6"/>
    </row>
    <row r="64" customFormat="false" ht="15" hidden="false" customHeight="false" outlineLevel="0" collapsed="false">
      <c r="A64" s="3" t="s">
        <v>190</v>
      </c>
      <c r="B64" s="4" t="s">
        <v>43</v>
      </c>
      <c r="C64" s="5" t="n">
        <v>43640</v>
      </c>
      <c r="D64" s="3" t="s">
        <v>191</v>
      </c>
      <c r="E64" s="3" t="s">
        <v>192</v>
      </c>
      <c r="F64" s="3" t="s">
        <v>193</v>
      </c>
      <c r="G64" s="4"/>
      <c r="H64" s="3"/>
      <c r="I64" s="4"/>
      <c r="J64" s="4" t="n">
        <v>2</v>
      </c>
      <c r="K64" s="3" t="str">
        <f aca="false">TRIM(IF(B64="","sexo; ","")&amp;IF(C64="","data de nascimento; ","")&amp;IF(D64="","responsável; ","")&amp;IF(E64="","telefone; ","")&amp;IF(AND(G64="Sim",H64=""),"qual restrição; ",""))</f>
        <v/>
      </c>
      <c r="L64" s="6"/>
    </row>
    <row r="65" customFormat="false" ht="15" hidden="false" customHeight="false" outlineLevel="0" collapsed="false">
      <c r="A65" s="3" t="s">
        <v>194</v>
      </c>
      <c r="B65" s="4" t="s">
        <v>13</v>
      </c>
      <c r="C65" s="5"/>
      <c r="D65" s="3" t="s">
        <v>195</v>
      </c>
      <c r="E65" s="3" t="s">
        <v>196</v>
      </c>
      <c r="F65" s="3"/>
      <c r="G65" s="4"/>
      <c r="H65" s="3"/>
      <c r="I65" s="4"/>
      <c r="J65" s="4" t="n">
        <v>4</v>
      </c>
      <c r="K65" s="3" t="str">
        <f aca="false">TRIM(IF(B65="","sexo; ","")&amp;IF(C65="","data de nascimento; ","")&amp;IF(D65="","responsável; ","")&amp;IF(E65="","telefone; ","")&amp;IF(AND(G65="Sim",H65=""),"qual restrição; ",""))</f>
        <v>data de nascimento;</v>
      </c>
      <c r="L65" s="6"/>
    </row>
    <row r="66" customFormat="false" ht="15" hidden="false" customHeight="false" outlineLevel="0" collapsed="false">
      <c r="A66" s="3" t="s">
        <v>197</v>
      </c>
      <c r="B66" s="4" t="s">
        <v>43</v>
      </c>
      <c r="C66" s="5" t="n">
        <v>42915</v>
      </c>
      <c r="D66" s="3" t="s">
        <v>160</v>
      </c>
      <c r="E66" s="3" t="s">
        <v>161</v>
      </c>
      <c r="F66" s="3"/>
      <c r="G66" s="4"/>
      <c r="H66" s="3"/>
      <c r="I66" s="4"/>
      <c r="J66" s="4" t="n">
        <v>1</v>
      </c>
      <c r="K66" s="3" t="str">
        <f aca="false">TRIM(IF(B66="","sexo; ","")&amp;IF(C66="","data de nascimento; ","")&amp;IF(D66="","responsável; ","")&amp;IF(E66="","telefone; ","")&amp;IF(AND(G66="Sim",H66=""),"qual restrição; ",""))</f>
        <v/>
      </c>
      <c r="L66" s="6"/>
    </row>
    <row r="67" customFormat="false" ht="15" hidden="false" customHeight="false" outlineLevel="0" collapsed="false">
      <c r="A67" s="3" t="s">
        <v>198</v>
      </c>
      <c r="B67" s="4" t="s">
        <v>43</v>
      </c>
      <c r="C67" s="5" t="n">
        <v>43771</v>
      </c>
      <c r="D67" s="3" t="s">
        <v>75</v>
      </c>
      <c r="E67" s="3"/>
      <c r="F67" s="3" t="s">
        <v>76</v>
      </c>
      <c r="G67" s="4"/>
      <c r="H67" s="3"/>
      <c r="I67" s="4"/>
      <c r="J67" s="4" t="n">
        <v>2</v>
      </c>
      <c r="K67" s="3" t="str">
        <f aca="false">TRIM(IF(B67="","sexo; ","")&amp;IF(C67="","data de nascimento; ","")&amp;IF(D67="","responsável; ","")&amp;IF(E67="","telefone; ","")&amp;IF(AND(G67="Sim",H67=""),"qual restrição; ",""))</f>
        <v>telefone;</v>
      </c>
      <c r="L67" s="6"/>
    </row>
    <row r="68" customFormat="false" ht="15" hidden="false" customHeight="false" outlineLevel="0" collapsed="false">
      <c r="A68" s="3" t="s">
        <v>199</v>
      </c>
      <c r="B68" s="4" t="s">
        <v>43</v>
      </c>
      <c r="C68" s="5" t="n">
        <v>44959</v>
      </c>
      <c r="D68" s="3" t="s">
        <v>200</v>
      </c>
      <c r="E68" s="3" t="s">
        <v>201</v>
      </c>
      <c r="F68" s="3"/>
      <c r="G68" s="4"/>
      <c r="H68" s="3"/>
      <c r="I68" s="4"/>
      <c r="J68" s="4" t="n">
        <v>1</v>
      </c>
      <c r="K68" s="3" t="str">
        <f aca="false">TRIM(IF(B68="","sexo; ","")&amp;IF(C68="","data de nascimento; ","")&amp;IF(D68="","responsável; ","")&amp;IF(E68="","telefone; ","")&amp;IF(AND(G68="Sim",H68=""),"qual restrição; ",""))</f>
        <v/>
      </c>
      <c r="L68" s="6"/>
    </row>
    <row r="69" customFormat="false" ht="15" hidden="false" customHeight="false" outlineLevel="0" collapsed="false">
      <c r="A69" s="3" t="s">
        <v>202</v>
      </c>
      <c r="B69" s="4" t="s">
        <v>43</v>
      </c>
      <c r="C69" s="5" t="n">
        <v>41862</v>
      </c>
      <c r="D69" s="3" t="s">
        <v>142</v>
      </c>
      <c r="E69" s="3" t="s">
        <v>143</v>
      </c>
      <c r="F69" s="3"/>
      <c r="G69" s="4"/>
      <c r="H69" s="3"/>
      <c r="I69" s="4"/>
      <c r="J69" s="4" t="n">
        <v>13</v>
      </c>
      <c r="K69" s="3" t="str">
        <f aca="false">TRIM(IF(B69="","sexo; ","")&amp;IF(C69="","data de nascimento; ","")&amp;IF(D69="","responsável; ","")&amp;IF(E69="","telefone; ","")&amp;IF(AND(G69="Sim",H69=""),"qual restrição; ",""))</f>
        <v/>
      </c>
      <c r="L69" s="6"/>
    </row>
    <row r="70" customFormat="false" ht="15" hidden="false" customHeight="false" outlineLevel="0" collapsed="false">
      <c r="A70" s="3" t="s">
        <v>203</v>
      </c>
      <c r="B70" s="4" t="s">
        <v>43</v>
      </c>
      <c r="C70" s="5" t="n">
        <v>44488</v>
      </c>
      <c r="D70" s="3" t="s">
        <v>204</v>
      </c>
      <c r="E70" s="3" t="s">
        <v>205</v>
      </c>
      <c r="F70" s="3" t="s">
        <v>206</v>
      </c>
      <c r="G70" s="4"/>
      <c r="H70" s="3"/>
      <c r="I70" s="4"/>
      <c r="J70" s="4" t="n">
        <v>2</v>
      </c>
      <c r="K70" s="3" t="str">
        <f aca="false">TRIM(IF(B70="","sexo; ","")&amp;IF(C70="","data de nascimento; ","")&amp;IF(D70="","responsável; ","")&amp;IF(E70="","telefone; ","")&amp;IF(AND(G70="Sim",H70=""),"qual restrição; ",""))</f>
        <v/>
      </c>
      <c r="L70" s="6"/>
    </row>
    <row r="71" customFormat="false" ht="15" hidden="false" customHeight="false" outlineLevel="0" collapsed="false">
      <c r="A71" s="3" t="s">
        <v>207</v>
      </c>
      <c r="B71" s="4" t="s">
        <v>13</v>
      </c>
      <c r="C71" s="5" t="n">
        <v>43270</v>
      </c>
      <c r="D71" s="3" t="s">
        <v>123</v>
      </c>
      <c r="E71" s="3" t="s">
        <v>124</v>
      </c>
      <c r="F71" s="3" t="s">
        <v>16</v>
      </c>
      <c r="G71" s="4"/>
      <c r="H71" s="3"/>
      <c r="I71" s="4"/>
      <c r="J71" s="4" t="n">
        <v>17</v>
      </c>
      <c r="K71" s="3" t="str">
        <f aca="false">TRIM(IF(B71="","sexo; ","")&amp;IF(C71="","data de nascimento; ","")&amp;IF(D71="","responsável; ","")&amp;IF(E71="","telefone; ","")&amp;IF(AND(G71="Sim",H71=""),"qual restrição; ",""))</f>
        <v/>
      </c>
      <c r="L71" s="6"/>
    </row>
    <row r="72" customFormat="false" ht="15" hidden="false" customHeight="false" outlineLevel="0" collapsed="false">
      <c r="A72" s="3" t="s">
        <v>208</v>
      </c>
      <c r="B72" s="4" t="s">
        <v>13</v>
      </c>
      <c r="C72" s="5" t="n">
        <v>42569</v>
      </c>
      <c r="D72" s="3" t="s">
        <v>209</v>
      </c>
      <c r="E72" s="3" t="s">
        <v>210</v>
      </c>
      <c r="F72" s="3" t="s">
        <v>16</v>
      </c>
      <c r="G72" s="4"/>
      <c r="H72" s="3"/>
      <c r="I72" s="4"/>
      <c r="J72" s="4" t="n">
        <v>6</v>
      </c>
      <c r="K72" s="3" t="str">
        <f aca="false">TRIM(IF(B72="","sexo; ","")&amp;IF(C72="","data de nascimento; ","")&amp;IF(D72="","responsável; ","")&amp;IF(E72="","telefone; ","")&amp;IF(AND(G72="Sim",H72=""),"qual restrição; ",""))</f>
        <v/>
      </c>
      <c r="L72" s="6"/>
    </row>
    <row r="73" customFormat="false" ht="15" hidden="false" customHeight="false" outlineLevel="0" collapsed="false">
      <c r="A73" s="3" t="s">
        <v>211</v>
      </c>
      <c r="B73" s="4" t="s">
        <v>13</v>
      </c>
      <c r="C73" s="5"/>
      <c r="D73" s="3" t="s">
        <v>212</v>
      </c>
      <c r="E73" s="3"/>
      <c r="F73" s="3"/>
      <c r="G73" s="4"/>
      <c r="H73" s="3"/>
      <c r="I73" s="4"/>
      <c r="J73" s="4" t="n">
        <v>1</v>
      </c>
      <c r="K73" s="3" t="str">
        <f aca="false">TRIM(IF(B73="","sexo; ","")&amp;IF(C73="","data de nascimento; ","")&amp;IF(D73="","responsável; ","")&amp;IF(E73="","telefone; ","")&amp;IF(AND(G73="Sim",H73=""),"qual restrição; ",""))</f>
        <v>data de nascimento; telefone;</v>
      </c>
      <c r="L73" s="6"/>
    </row>
    <row r="74" customFormat="false" ht="15" hidden="false" customHeight="false" outlineLevel="0" collapsed="false">
      <c r="A74" s="3" t="s">
        <v>213</v>
      </c>
      <c r="B74" s="4" t="s">
        <v>13</v>
      </c>
      <c r="C74" s="5" t="n">
        <v>43597</v>
      </c>
      <c r="D74" s="3" t="s">
        <v>214</v>
      </c>
      <c r="E74" s="3" t="s">
        <v>215</v>
      </c>
      <c r="F74" s="3"/>
      <c r="G74" s="4"/>
      <c r="H74" s="3"/>
      <c r="I74" s="4"/>
      <c r="J74" s="4" t="n">
        <v>2</v>
      </c>
      <c r="K74" s="3" t="str">
        <f aca="false">TRIM(IF(B74="","sexo; ","")&amp;IF(C74="","data de nascimento; ","")&amp;IF(D74="","responsável; ","")&amp;IF(E74="","telefone; ","")&amp;IF(AND(G74="Sim",H74=""),"qual restrição; ",""))</f>
        <v/>
      </c>
      <c r="L74" s="6"/>
    </row>
    <row r="75" customFormat="false" ht="15" hidden="false" customHeight="false" outlineLevel="0" collapsed="false">
      <c r="A75" s="3" t="s">
        <v>216</v>
      </c>
      <c r="B75" s="4" t="s">
        <v>13</v>
      </c>
      <c r="C75" s="5" t="n">
        <v>44352</v>
      </c>
      <c r="D75" s="3" t="s">
        <v>217</v>
      </c>
      <c r="E75" s="3" t="s">
        <v>218</v>
      </c>
      <c r="F75" s="3"/>
      <c r="G75" s="4"/>
      <c r="H75" s="3"/>
      <c r="I75" s="4" t="s">
        <v>125</v>
      </c>
      <c r="J75" s="4" t="n">
        <v>1</v>
      </c>
      <c r="K75" s="3" t="str">
        <f aca="false">TRIM(IF(B75="","sexo; ","")&amp;IF(C75="","data de nascimento; ","")&amp;IF(D75="","responsável; ","")&amp;IF(E75="","telefone; ","")&amp;IF(AND(G75="Sim",H75=""),"qual restrição; ",""))</f>
        <v/>
      </c>
      <c r="L75" s="6" t="s">
        <v>219</v>
      </c>
    </row>
    <row r="76" customFormat="false" ht="15" hidden="false" customHeight="false" outlineLevel="0" collapsed="false">
      <c r="A76" s="3" t="s">
        <v>220</v>
      </c>
      <c r="B76" s="4" t="s">
        <v>13</v>
      </c>
      <c r="C76" s="5" t="n">
        <v>44234</v>
      </c>
      <c r="D76" s="3" t="s">
        <v>221</v>
      </c>
      <c r="E76" s="3" t="s">
        <v>222</v>
      </c>
      <c r="F76" s="3"/>
      <c r="G76" s="4"/>
      <c r="H76" s="3"/>
      <c r="I76" s="4"/>
      <c r="J76" s="4" t="n">
        <v>1</v>
      </c>
      <c r="K76" s="3" t="str">
        <f aca="false">TRIM(IF(B76="","sexo; ","")&amp;IF(C76="","data de nascimento; ","")&amp;IF(D76="","responsável; ","")&amp;IF(E76="","telefone; ","")&amp;IF(AND(G76="Sim",H76=""),"qual restrição; ",""))</f>
        <v/>
      </c>
      <c r="L76" s="6"/>
    </row>
    <row r="77" customFormat="false" ht="15" hidden="false" customHeight="false" outlineLevel="0" collapsed="false">
      <c r="A77" s="3" t="s">
        <v>223</v>
      </c>
      <c r="B77" s="4" t="s">
        <v>13</v>
      </c>
      <c r="C77" s="5" t="n">
        <v>43145</v>
      </c>
      <c r="D77" s="3" t="s">
        <v>224</v>
      </c>
      <c r="E77" s="3" t="s">
        <v>225</v>
      </c>
      <c r="F77" s="3"/>
      <c r="G77" s="4"/>
      <c r="H77" s="3"/>
      <c r="I77" s="4"/>
      <c r="J77" s="4" t="n">
        <v>2</v>
      </c>
      <c r="K77" s="3" t="str">
        <f aca="false">TRIM(IF(B77="","sexo; ","")&amp;IF(C77="","data de nascimento; ","")&amp;IF(D77="","responsável; ","")&amp;IF(E77="","telefone; ","")&amp;IF(AND(G77="Sim",H77=""),"qual restrição; ",""))</f>
        <v/>
      </c>
      <c r="L77" s="6"/>
    </row>
    <row r="78" customFormat="false" ht="15" hidden="false" customHeight="false" outlineLevel="0" collapsed="false">
      <c r="A78" s="3" t="s">
        <v>226</v>
      </c>
      <c r="B78" s="4" t="s">
        <v>13</v>
      </c>
      <c r="C78" s="5" t="n">
        <v>44379</v>
      </c>
      <c r="D78" s="3" t="s">
        <v>227</v>
      </c>
      <c r="E78" s="3" t="s">
        <v>228</v>
      </c>
      <c r="F78" s="3"/>
      <c r="G78" s="4"/>
      <c r="H78" s="3"/>
      <c r="I78" s="4"/>
      <c r="J78" s="4" t="n">
        <v>1</v>
      </c>
      <c r="K78" s="3" t="str">
        <f aca="false">TRIM(IF(B78="","sexo; ","")&amp;IF(C78="","data de nascimento; ","")&amp;IF(D78="","responsável; ","")&amp;IF(E78="","telefone; ","")&amp;IF(AND(G78="Sim",H78=""),"qual restrição; ",""))</f>
        <v/>
      </c>
      <c r="L78" s="6"/>
    </row>
    <row r="79" customFormat="false" ht="15" hidden="false" customHeight="false" outlineLevel="0" collapsed="false">
      <c r="A79" s="3" t="s">
        <v>229</v>
      </c>
      <c r="B79" s="4" t="s">
        <v>13</v>
      </c>
      <c r="C79" s="5" t="n">
        <v>43202</v>
      </c>
      <c r="D79" s="3" t="s">
        <v>230</v>
      </c>
      <c r="E79" s="3" t="s">
        <v>231</v>
      </c>
      <c r="F79" s="3" t="s">
        <v>232</v>
      </c>
      <c r="G79" s="4"/>
      <c r="H79" s="3"/>
      <c r="I79" s="4"/>
      <c r="J79" s="4" t="n">
        <v>1</v>
      </c>
      <c r="K79" s="3" t="str">
        <f aca="false">TRIM(IF(B79="","sexo; ","")&amp;IF(C79="","data de nascimento; ","")&amp;IF(D79="","responsável; ","")&amp;IF(E79="","telefone; ","")&amp;IF(AND(G79="Sim",H79=""),"qual restrição; ",""))</f>
        <v/>
      </c>
      <c r="L79" s="6"/>
    </row>
    <row r="80" customFormat="false" ht="15" hidden="false" customHeight="false" outlineLevel="0" collapsed="false">
      <c r="A80" s="3" t="s">
        <v>233</v>
      </c>
      <c r="B80" s="4" t="s">
        <v>13</v>
      </c>
      <c r="C80" s="5"/>
      <c r="D80" s="3"/>
      <c r="E80" s="3"/>
      <c r="F80" s="3"/>
      <c r="G80" s="4"/>
      <c r="H80" s="3"/>
      <c r="I80" s="4"/>
      <c r="J80" s="4" t="n">
        <v>1</v>
      </c>
      <c r="K80" s="3" t="str">
        <f aca="false">TRIM(IF(B80="","sexo; ","")&amp;IF(C80="","data de nascimento; ","")&amp;IF(D80="","responsável; ","")&amp;IF(E80="","telefone; ","")&amp;IF(AND(G80="Sim",H80=""),"qual restrição; ",""))</f>
        <v>data de nascimento; responsável; telefone;</v>
      </c>
      <c r="L80" s="6"/>
    </row>
    <row r="81" customFormat="false" ht="15" hidden="false" customHeight="false" outlineLevel="0" collapsed="false">
      <c r="A81" s="3" t="s">
        <v>234</v>
      </c>
      <c r="B81" s="4" t="s">
        <v>13</v>
      </c>
      <c r="C81" s="5" t="n">
        <v>42997</v>
      </c>
      <c r="D81" s="3" t="s">
        <v>33</v>
      </c>
      <c r="E81" s="3" t="s">
        <v>34</v>
      </c>
      <c r="F81" s="3" t="s">
        <v>35</v>
      </c>
      <c r="G81" s="4"/>
      <c r="H81" s="3"/>
      <c r="I81" s="4"/>
      <c r="J81" s="4" t="n">
        <v>1</v>
      </c>
      <c r="K81" s="3" t="str">
        <f aca="false">TRIM(IF(B81="","sexo; ","")&amp;IF(C81="","data de nascimento; ","")&amp;IF(D81="","responsável; ","")&amp;IF(E81="","telefone; ","")&amp;IF(AND(G81="Sim",H81=""),"qual restrição; ",""))</f>
        <v/>
      </c>
      <c r="L81" s="6"/>
    </row>
    <row r="82" customFormat="false" ht="15" hidden="false" customHeight="false" outlineLevel="0" collapsed="false">
      <c r="A82" s="3" t="s">
        <v>235</v>
      </c>
      <c r="B82" s="4" t="s">
        <v>13</v>
      </c>
      <c r="C82" s="5" t="n">
        <v>44913</v>
      </c>
      <c r="D82" s="3" t="s">
        <v>236</v>
      </c>
      <c r="E82" s="3" t="s">
        <v>237</v>
      </c>
      <c r="F82" s="3"/>
      <c r="G82" s="4"/>
      <c r="H82" s="3"/>
      <c r="I82" s="4"/>
      <c r="J82" s="4" t="n">
        <v>1</v>
      </c>
      <c r="K82" s="3" t="str">
        <f aca="false">TRIM(IF(B82="","sexo; ","")&amp;IF(C82="","data de nascimento; ","")&amp;IF(D82="","responsável; ","")&amp;IF(E82="","telefone; ","")&amp;IF(AND(G82="Sim",H82=""),"qual restrição; ",""))</f>
        <v/>
      </c>
      <c r="L82" s="6"/>
    </row>
    <row r="83" customFormat="false" ht="15" hidden="false" customHeight="false" outlineLevel="0" collapsed="false">
      <c r="A83" s="3" t="s">
        <v>238</v>
      </c>
      <c r="B83" s="4" t="s">
        <v>13</v>
      </c>
      <c r="C83" s="5" t="n">
        <v>44519</v>
      </c>
      <c r="D83" s="3" t="s">
        <v>239</v>
      </c>
      <c r="E83" s="3" t="s">
        <v>240</v>
      </c>
      <c r="F83" s="3"/>
      <c r="G83" s="4"/>
      <c r="H83" s="3"/>
      <c r="I83" s="4"/>
      <c r="J83" s="4" t="n">
        <v>1</v>
      </c>
      <c r="K83" s="3" t="str">
        <f aca="false">TRIM(IF(B83="","sexo; ","")&amp;IF(C83="","data de nascimento; ","")&amp;IF(D83="","responsável; ","")&amp;IF(E83="","telefone; ","")&amp;IF(AND(G83="Sim",H83=""),"qual restrição; ",""))</f>
        <v/>
      </c>
      <c r="L83" s="6"/>
    </row>
    <row r="84" customFormat="false" ht="15" hidden="false" customHeight="false" outlineLevel="0" collapsed="false">
      <c r="A84" s="3" t="s">
        <v>241</v>
      </c>
      <c r="B84" s="4" t="s">
        <v>43</v>
      </c>
      <c r="C84" s="5"/>
      <c r="D84" s="3"/>
      <c r="E84" s="3"/>
      <c r="F84" s="3"/>
      <c r="G84" s="4"/>
      <c r="H84" s="3"/>
      <c r="I84" s="4"/>
      <c r="J84" s="4" t="n">
        <v>1</v>
      </c>
      <c r="K84" s="3" t="str">
        <f aca="false">TRIM(IF(B84="","sexo; ","")&amp;IF(C84="","data de nascimento; ","")&amp;IF(D84="","responsável; ","")&amp;IF(E84="","telefone; ","")&amp;IF(AND(G84="Sim",H84=""),"qual restrição; ",""))</f>
        <v>data de nascimento; responsável; telefone;</v>
      </c>
      <c r="L84" s="6"/>
    </row>
    <row r="85" customFormat="false" ht="15" hidden="false" customHeight="false" outlineLevel="0" collapsed="false">
      <c r="A85" s="3" t="s">
        <v>242</v>
      </c>
      <c r="B85" s="4" t="s">
        <v>43</v>
      </c>
      <c r="C85" s="5" t="n">
        <v>41854</v>
      </c>
      <c r="D85" s="3" t="s">
        <v>217</v>
      </c>
      <c r="E85" s="3" t="s">
        <v>218</v>
      </c>
      <c r="F85" s="3"/>
      <c r="G85" s="4"/>
      <c r="H85" s="3"/>
      <c r="I85" s="4"/>
      <c r="J85" s="4" t="n">
        <v>3</v>
      </c>
      <c r="K85" s="3" t="str">
        <f aca="false">TRIM(IF(B85="","sexo; ","")&amp;IF(C85="","data de nascimento; ","")&amp;IF(D85="","responsável; ","")&amp;IF(E85="","telefone; ","")&amp;IF(AND(G85="Sim",H85=""),"qual restrição; ",""))</f>
        <v/>
      </c>
      <c r="L85" s="6"/>
    </row>
    <row r="86" customFormat="false" ht="15" hidden="false" customHeight="false" outlineLevel="0" collapsed="false">
      <c r="A86" s="3" t="s">
        <v>243</v>
      </c>
      <c r="B86" s="4" t="s">
        <v>13</v>
      </c>
      <c r="C86" s="5" t="n">
        <v>44789</v>
      </c>
      <c r="D86" s="3" t="s">
        <v>244</v>
      </c>
      <c r="E86" s="3" t="s">
        <v>245</v>
      </c>
      <c r="F86" s="3"/>
      <c r="G86" s="4"/>
      <c r="H86" s="3"/>
      <c r="I86" s="4"/>
      <c r="J86" s="4" t="n">
        <v>5</v>
      </c>
      <c r="K86" s="3" t="str">
        <f aca="false">TRIM(IF(B86="","sexo; ","")&amp;IF(C86="","data de nascimento; ","")&amp;IF(D86="","responsável; ","")&amp;IF(E86="","telefone; ","")&amp;IF(AND(G86="Sim",H86=""),"qual restrição; ",""))</f>
        <v/>
      </c>
      <c r="L86" s="6"/>
    </row>
    <row r="87" customFormat="false" ht="15" hidden="false" customHeight="false" outlineLevel="0" collapsed="false">
      <c r="A87" s="3" t="s">
        <v>246</v>
      </c>
      <c r="B87" s="4" t="s">
        <v>43</v>
      </c>
      <c r="C87" s="5" t="n">
        <v>41875</v>
      </c>
      <c r="D87" s="3" t="s">
        <v>224</v>
      </c>
      <c r="E87" s="3" t="s">
        <v>225</v>
      </c>
      <c r="F87" s="3"/>
      <c r="G87" s="4"/>
      <c r="H87" s="3"/>
      <c r="I87" s="4"/>
      <c r="J87" s="4" t="n">
        <v>3</v>
      </c>
      <c r="K87" s="3" t="str">
        <f aca="false">TRIM(IF(B87="","sexo; ","")&amp;IF(C87="","data de nascimento; ","")&amp;IF(D87="","responsável; ","")&amp;IF(E87="","telefone; ","")&amp;IF(AND(G87="Sim",H87=""),"qual restrição; ",""))</f>
        <v/>
      </c>
      <c r="L87" s="6"/>
    </row>
    <row r="88" customFormat="false" ht="15" hidden="false" customHeight="false" outlineLevel="0" collapsed="false">
      <c r="A88" s="3" t="s">
        <v>247</v>
      </c>
      <c r="B88" s="4" t="s">
        <v>43</v>
      </c>
      <c r="C88" s="5" t="n">
        <v>44546</v>
      </c>
      <c r="D88" s="3" t="s">
        <v>248</v>
      </c>
      <c r="E88" s="3"/>
      <c r="F88" s="3"/>
      <c r="G88" s="4"/>
      <c r="H88" s="3"/>
      <c r="I88" s="4"/>
      <c r="J88" s="4" t="n">
        <v>1</v>
      </c>
      <c r="K88" s="3" t="str">
        <f aca="false">TRIM(IF(B88="","sexo; ","")&amp;IF(C88="","data de nascimento; ","")&amp;IF(D88="","responsável; ","")&amp;IF(E88="","telefone; ","")&amp;IF(AND(G88="Sim",H88=""),"qual restrição; ",""))</f>
        <v>telefone;</v>
      </c>
      <c r="L88" s="6"/>
    </row>
    <row r="89" customFormat="false" ht="15" hidden="false" customHeight="false" outlineLevel="0" collapsed="false">
      <c r="A89" s="3" t="s">
        <v>249</v>
      </c>
      <c r="B89" s="4" t="s">
        <v>13</v>
      </c>
      <c r="C89" s="5" t="n">
        <v>42572</v>
      </c>
      <c r="D89" s="3" t="s">
        <v>18</v>
      </c>
      <c r="E89" s="3" t="s">
        <v>19</v>
      </c>
      <c r="F89" s="3"/>
      <c r="G89" s="4"/>
      <c r="H89" s="3"/>
      <c r="I89" s="4"/>
      <c r="J89" s="4" t="n">
        <v>12</v>
      </c>
      <c r="K89" s="3" t="str">
        <f aca="false">TRIM(IF(B89="","sexo; ","")&amp;IF(C89="","data de nascimento; ","")&amp;IF(D89="","responsável; ","")&amp;IF(E89="","telefone; ","")&amp;IF(AND(G89="Sim",H89=""),"qual restrição; ",""))</f>
        <v/>
      </c>
      <c r="L89" s="6"/>
    </row>
    <row r="90" customFormat="false" ht="15" hidden="false" customHeight="false" outlineLevel="0" collapsed="false">
      <c r="A90" s="3" t="s">
        <v>250</v>
      </c>
      <c r="B90" s="4" t="s">
        <v>13</v>
      </c>
      <c r="C90" s="5" t="n">
        <v>42013</v>
      </c>
      <c r="D90" s="3" t="s">
        <v>251</v>
      </c>
      <c r="E90" s="3" t="s">
        <v>252</v>
      </c>
      <c r="F90" s="3" t="s">
        <v>16</v>
      </c>
      <c r="G90" s="4" t="s">
        <v>125</v>
      </c>
      <c r="H90" s="3" t="s">
        <v>172</v>
      </c>
      <c r="I90" s="4"/>
      <c r="J90" s="4" t="n">
        <v>17</v>
      </c>
      <c r="K90" s="3" t="str">
        <f aca="false">TRIM(IF(B90="","sexo; ","")&amp;IF(C90="","data de nascimento; ","")&amp;IF(D90="","responsável; ","")&amp;IF(E90="","telefone; ","")&amp;IF(AND(G90="Sim",H90=""),"qual restrição; ",""))</f>
        <v/>
      </c>
      <c r="L90" s="6" t="s">
        <v>253</v>
      </c>
    </row>
    <row r="91" customFormat="false" ht="15" hidden="false" customHeight="false" outlineLevel="0" collapsed="false">
      <c r="A91" s="3" t="s">
        <v>254</v>
      </c>
      <c r="B91" s="4" t="s">
        <v>13</v>
      </c>
      <c r="C91" s="5"/>
      <c r="D91" s="3" t="s">
        <v>255</v>
      </c>
      <c r="E91" s="3"/>
      <c r="F91" s="3"/>
      <c r="G91" s="4"/>
      <c r="H91" s="3"/>
      <c r="I91" s="4"/>
      <c r="J91" s="4" t="n">
        <v>1</v>
      </c>
      <c r="K91" s="3" t="str">
        <f aca="false">TRIM(IF(B91="","sexo; ","")&amp;IF(C91="","data de nascimento; ","")&amp;IF(D91="","responsável; ","")&amp;IF(E91="","telefone; ","")&amp;IF(AND(G91="Sim",H91=""),"qual restrição; ",""))</f>
        <v>data de nascimento; telefone;</v>
      </c>
      <c r="L91" s="6"/>
    </row>
    <row r="92" customFormat="false" ht="15" hidden="false" customHeight="false" outlineLevel="0" collapsed="false">
      <c r="A92" s="3" t="s">
        <v>256</v>
      </c>
      <c r="B92" s="4" t="s">
        <v>13</v>
      </c>
      <c r="C92" s="5" t="n">
        <v>43328</v>
      </c>
      <c r="D92" s="3" t="s">
        <v>139</v>
      </c>
      <c r="E92" s="3" t="s">
        <v>140</v>
      </c>
      <c r="F92" s="3"/>
      <c r="G92" s="4"/>
      <c r="H92" s="3"/>
      <c r="I92" s="4"/>
      <c r="J92" s="4" t="n">
        <v>8</v>
      </c>
      <c r="K92" s="3" t="str">
        <f aca="false">TRIM(IF(B92="","sexo; ","")&amp;IF(C92="","data de nascimento; ","")&amp;IF(D92="","responsável; ","")&amp;IF(E92="","telefone; ","")&amp;IF(AND(G92="Sim",H92=""),"qual restrição; ",""))</f>
        <v/>
      </c>
      <c r="L92" s="6"/>
    </row>
    <row r="93" customFormat="false" ht="15" hidden="false" customHeight="false" outlineLevel="0" collapsed="false">
      <c r="A93" s="3" t="s">
        <v>257</v>
      </c>
      <c r="B93" s="4" t="s">
        <v>13</v>
      </c>
      <c r="C93" s="5"/>
      <c r="D93" s="3" t="s">
        <v>18</v>
      </c>
      <c r="E93" s="3" t="s">
        <v>19</v>
      </c>
      <c r="F93" s="3"/>
      <c r="G93" s="4"/>
      <c r="H93" s="3"/>
      <c r="I93" s="4"/>
      <c r="J93" s="4" t="n">
        <v>1</v>
      </c>
      <c r="K93" s="3" t="str">
        <f aca="false">TRIM(IF(B93="","sexo; ","")&amp;IF(C93="","data de nascimento; ","")&amp;IF(D93="","responsável; ","")&amp;IF(E93="","telefone; ","")&amp;IF(AND(G93="Sim",H93=""),"qual restrição; ",""))</f>
        <v>data de nascimento;</v>
      </c>
      <c r="L93" s="6"/>
    </row>
    <row r="94" customFormat="false" ht="15" hidden="false" customHeight="false" outlineLevel="0" collapsed="false">
      <c r="A94" s="3" t="s">
        <v>258</v>
      </c>
      <c r="B94" s="4" t="s">
        <v>13</v>
      </c>
      <c r="C94" s="5" t="n">
        <v>42739</v>
      </c>
      <c r="D94" s="3" t="s">
        <v>259</v>
      </c>
      <c r="E94" s="3" t="s">
        <v>260</v>
      </c>
      <c r="F94" s="3" t="s">
        <v>16</v>
      </c>
      <c r="G94" s="4"/>
      <c r="H94" s="3"/>
      <c r="I94" s="4"/>
      <c r="J94" s="4" t="n">
        <v>1</v>
      </c>
      <c r="K94" s="3" t="str">
        <f aca="false">TRIM(IF(B94="","sexo; ","")&amp;IF(C94="","data de nascimento; ","")&amp;IF(D94="","responsável; ","")&amp;IF(E94="","telefone; ","")&amp;IF(AND(G94="Sim",H94=""),"qual restrição; ",""))</f>
        <v/>
      </c>
      <c r="L94" s="6"/>
    </row>
    <row r="95" customFormat="false" ht="15" hidden="false" customHeight="false" outlineLevel="0" collapsed="false">
      <c r="A95" s="3" t="s">
        <v>261</v>
      </c>
      <c r="B95" s="4" t="s">
        <v>43</v>
      </c>
      <c r="C95" s="5" t="n">
        <v>41657</v>
      </c>
      <c r="D95" s="3" t="s">
        <v>262</v>
      </c>
      <c r="E95" s="3" t="s">
        <v>263</v>
      </c>
      <c r="F95" s="3"/>
      <c r="G95" s="4"/>
      <c r="H95" s="3"/>
      <c r="I95" s="4"/>
      <c r="J95" s="4" t="n">
        <v>4</v>
      </c>
      <c r="K95" s="3" t="str">
        <f aca="false">TRIM(IF(B95="","sexo; ","")&amp;IF(C95="","data de nascimento; ","")&amp;IF(D95="","responsável; ","")&amp;IF(E95="","telefone; ","")&amp;IF(AND(G95="Sim",H95=""),"qual restrição; ",""))</f>
        <v/>
      </c>
      <c r="L95" s="6"/>
    </row>
    <row r="96" customFormat="false" ht="15" hidden="false" customHeight="false" outlineLevel="0" collapsed="false">
      <c r="A96" s="3" t="s">
        <v>264</v>
      </c>
      <c r="B96" s="4" t="s">
        <v>13</v>
      </c>
      <c r="C96" s="5" t="n">
        <v>42988</v>
      </c>
      <c r="D96" s="3" t="s">
        <v>265</v>
      </c>
      <c r="E96" s="3" t="s">
        <v>266</v>
      </c>
      <c r="F96" s="3"/>
      <c r="G96" s="4"/>
      <c r="H96" s="3"/>
      <c r="I96" s="4"/>
      <c r="J96" s="4" t="n">
        <v>2</v>
      </c>
      <c r="K96" s="3" t="str">
        <f aca="false">TRIM(IF(B96="","sexo; ","")&amp;IF(C96="","data de nascimento; ","")&amp;IF(D96="","responsável; ","")&amp;IF(E96="","telefone; ","")&amp;IF(AND(G96="Sim",H96=""),"qual restrição; ",""))</f>
        <v/>
      </c>
      <c r="L96" s="6"/>
    </row>
    <row r="97" customFormat="false" ht="15" hidden="false" customHeight="false" outlineLevel="0" collapsed="false">
      <c r="A97" s="3" t="s">
        <v>267</v>
      </c>
      <c r="B97" s="4" t="s">
        <v>13</v>
      </c>
      <c r="C97" s="5"/>
      <c r="D97" s="3" t="s">
        <v>268</v>
      </c>
      <c r="E97" s="3"/>
      <c r="F97" s="3"/>
      <c r="G97" s="4"/>
      <c r="H97" s="3"/>
      <c r="I97" s="4"/>
      <c r="J97" s="4" t="n">
        <v>1</v>
      </c>
      <c r="K97" s="3" t="str">
        <f aca="false">TRIM(IF(B97="","sexo; ","")&amp;IF(C97="","data de nascimento; ","")&amp;IF(D97="","responsável; ","")&amp;IF(E97="","telefone; ","")&amp;IF(AND(G97="Sim",H97=""),"qual restrição; ",""))</f>
        <v>data de nascimento; telefone;</v>
      </c>
      <c r="L97" s="6"/>
    </row>
    <row r="98" customFormat="false" ht="15" hidden="false" customHeight="false" outlineLevel="0" collapsed="false">
      <c r="A98" s="3" t="s">
        <v>269</v>
      </c>
      <c r="B98" s="4" t="s">
        <v>13</v>
      </c>
      <c r="C98" s="5"/>
      <c r="D98" s="3" t="s">
        <v>270</v>
      </c>
      <c r="E98" s="3"/>
      <c r="F98" s="3"/>
      <c r="G98" s="4"/>
      <c r="H98" s="3"/>
      <c r="I98" s="4"/>
      <c r="J98" s="4" t="n">
        <v>1</v>
      </c>
      <c r="K98" s="3" t="str">
        <f aca="false">TRIM(IF(B98="","sexo; ","")&amp;IF(C98="","data de nascimento; ","")&amp;IF(D98="","responsável; ","")&amp;IF(E98="","telefone; ","")&amp;IF(AND(G98="Sim",H98=""),"qual restrição; ",""))</f>
        <v>data de nascimento; telefone;</v>
      </c>
      <c r="L98" s="6"/>
    </row>
    <row r="99" customFormat="false" ht="15" hidden="false" customHeight="false" outlineLevel="0" collapsed="false">
      <c r="A99" s="3" t="s">
        <v>271</v>
      </c>
      <c r="B99" s="4" t="s">
        <v>13</v>
      </c>
      <c r="C99" s="5" t="n">
        <v>42230</v>
      </c>
      <c r="D99" s="3" t="s">
        <v>272</v>
      </c>
      <c r="E99" s="3" t="s">
        <v>273</v>
      </c>
      <c r="F99" s="3"/>
      <c r="G99" s="4"/>
      <c r="H99" s="3"/>
      <c r="I99" s="4"/>
      <c r="J99" s="4" t="n">
        <v>19</v>
      </c>
      <c r="K99" s="3" t="str">
        <f aca="false">TRIM(IF(B99="","sexo; ","")&amp;IF(C99="","data de nascimento; ","")&amp;IF(D99="","responsável; ","")&amp;IF(E99="","telefone; ","")&amp;IF(AND(G99="Sim",H99=""),"qual restrição; ",""))</f>
        <v/>
      </c>
      <c r="L99" s="6"/>
    </row>
    <row r="100" customFormat="false" ht="15" hidden="false" customHeight="false" outlineLevel="0" collapsed="false">
      <c r="A100" s="3" t="s">
        <v>274</v>
      </c>
      <c r="B100" s="4" t="s">
        <v>13</v>
      </c>
      <c r="C100" s="5" t="n">
        <v>43353</v>
      </c>
      <c r="D100" s="3" t="s">
        <v>275</v>
      </c>
      <c r="E100" s="3" t="s">
        <v>276</v>
      </c>
      <c r="F100" s="3"/>
      <c r="G100" s="4"/>
      <c r="H100" s="3"/>
      <c r="I100" s="4"/>
      <c r="J100" s="4" t="n">
        <v>1</v>
      </c>
      <c r="K100" s="3" t="str">
        <f aca="false">TRIM(IF(B100="","sexo; ","")&amp;IF(C100="","data de nascimento; ","")&amp;IF(D100="","responsável; ","")&amp;IF(E100="","telefone; ","")&amp;IF(AND(G100="Sim",H100=""),"qual restrição; ",""))</f>
        <v/>
      </c>
      <c r="L100" s="6"/>
    </row>
    <row r="101" customFormat="false" ht="15" hidden="false" customHeight="false" outlineLevel="0" collapsed="false">
      <c r="A101" s="3" t="s">
        <v>277</v>
      </c>
      <c r="B101" s="4" t="s">
        <v>13</v>
      </c>
      <c r="C101" s="5" t="n">
        <v>42771</v>
      </c>
      <c r="D101" s="3" t="s">
        <v>53</v>
      </c>
      <c r="E101" s="3" t="s">
        <v>54</v>
      </c>
      <c r="F101" s="3"/>
      <c r="G101" s="4" t="s">
        <v>125</v>
      </c>
      <c r="H101" s="3" t="s">
        <v>172</v>
      </c>
      <c r="I101" s="4"/>
      <c r="J101" s="4" t="n">
        <v>4</v>
      </c>
      <c r="K101" s="3" t="str">
        <f aca="false">TRIM(IF(B101="","sexo; ","")&amp;IF(C101="","data de nascimento; ","")&amp;IF(D101="","responsável; ","")&amp;IF(E101="","telefone; ","")&amp;IF(AND(G101="Sim",H101=""),"qual restrição; ",""))</f>
        <v/>
      </c>
      <c r="L101" s="6" t="s">
        <v>278</v>
      </c>
    </row>
    <row r="102" customFormat="false" ht="15" hidden="false" customHeight="false" outlineLevel="0" collapsed="false">
      <c r="A102" s="3" t="s">
        <v>279</v>
      </c>
      <c r="B102" s="4" t="s">
        <v>13</v>
      </c>
      <c r="C102" s="5" t="n">
        <v>42857</v>
      </c>
      <c r="D102" s="3" t="s">
        <v>280</v>
      </c>
      <c r="E102" s="3" t="s">
        <v>281</v>
      </c>
      <c r="F102" s="3"/>
      <c r="G102" s="4"/>
      <c r="H102" s="3"/>
      <c r="I102" s="4"/>
      <c r="J102" s="4" t="n">
        <v>1</v>
      </c>
      <c r="K102" s="3" t="str">
        <f aca="false">TRIM(IF(B102="","sexo; ","")&amp;IF(C102="","data de nascimento; ","")&amp;IF(D102="","responsável; ","")&amp;IF(E102="","telefone; ","")&amp;IF(AND(G102="Sim",H102=""),"qual restrição; ",""))</f>
        <v/>
      </c>
      <c r="L102" s="6"/>
    </row>
    <row r="103" customFormat="false" ht="15" hidden="false" customHeight="false" outlineLevel="0" collapsed="false">
      <c r="A103" s="3" t="s">
        <v>282</v>
      </c>
      <c r="B103" s="4" t="s">
        <v>13</v>
      </c>
      <c r="C103" s="5" t="n">
        <v>41895</v>
      </c>
      <c r="D103" s="3" t="s">
        <v>283</v>
      </c>
      <c r="E103" s="3" t="s">
        <v>284</v>
      </c>
      <c r="F103" s="3"/>
      <c r="G103" s="4"/>
      <c r="H103" s="3"/>
      <c r="I103" s="4"/>
      <c r="J103" s="4" t="n">
        <v>15</v>
      </c>
      <c r="K103" s="3" t="str">
        <f aca="false">TRIM(IF(B103="","sexo; ","")&amp;IF(C103="","data de nascimento; ","")&amp;IF(D103="","responsável; ","")&amp;IF(E103="","telefone; ","")&amp;IF(AND(G103="Sim",H103=""),"qual restrição; ",""))</f>
        <v/>
      </c>
      <c r="L103" s="6"/>
    </row>
    <row r="104" customFormat="false" ht="15" hidden="false" customHeight="false" outlineLevel="0" collapsed="false">
      <c r="A104" s="3" t="s">
        <v>285</v>
      </c>
      <c r="B104" s="4" t="s">
        <v>13</v>
      </c>
      <c r="C104" s="5" t="n">
        <v>42937</v>
      </c>
      <c r="D104" s="3" t="s">
        <v>214</v>
      </c>
      <c r="E104" s="3" t="s">
        <v>286</v>
      </c>
      <c r="F104" s="3"/>
      <c r="G104" s="4"/>
      <c r="H104" s="3"/>
      <c r="I104" s="4"/>
      <c r="J104" s="4" t="n">
        <v>1</v>
      </c>
      <c r="K104" s="3" t="str">
        <f aca="false">TRIM(IF(B104="","sexo; ","")&amp;IF(C104="","data de nascimento; ","")&amp;IF(D104="","responsável; ","")&amp;IF(E104="","telefone; ","")&amp;IF(AND(G104="Sim",H104=""),"qual restrição; ",""))</f>
        <v/>
      </c>
      <c r="L104" s="6"/>
    </row>
    <row r="105" customFormat="false" ht="15" hidden="false" customHeight="false" outlineLevel="0" collapsed="false">
      <c r="A105" s="3" t="s">
        <v>287</v>
      </c>
      <c r="B105" s="4" t="s">
        <v>43</v>
      </c>
      <c r="C105" s="5" t="n">
        <v>42542</v>
      </c>
      <c r="D105" s="3" t="s">
        <v>288</v>
      </c>
      <c r="E105" s="3" t="s">
        <v>289</v>
      </c>
      <c r="F105" s="3"/>
      <c r="G105" s="4"/>
      <c r="H105" s="3"/>
      <c r="I105" s="4"/>
      <c r="J105" s="4" t="n">
        <v>1</v>
      </c>
      <c r="K105" s="3" t="str">
        <f aca="false">TRIM(IF(B105="","sexo; ","")&amp;IF(C105="","data de nascimento; ","")&amp;IF(D105="","responsável; ","")&amp;IF(E105="","telefone; ","")&amp;IF(AND(G105="Sim",H105=""),"qual restrição; ",""))</f>
        <v/>
      </c>
      <c r="L105" s="6"/>
    </row>
    <row r="106" customFormat="false" ht="15" hidden="false" customHeight="false" outlineLevel="0" collapsed="false">
      <c r="A106" s="3" t="s">
        <v>290</v>
      </c>
      <c r="B106" s="4" t="s">
        <v>13</v>
      </c>
      <c r="C106" s="5" t="n">
        <v>43411</v>
      </c>
      <c r="D106" s="3" t="s">
        <v>291</v>
      </c>
      <c r="E106" s="3" t="s">
        <v>292</v>
      </c>
      <c r="F106" s="3"/>
      <c r="G106" s="4" t="s">
        <v>125</v>
      </c>
      <c r="H106" s="3" t="s">
        <v>293</v>
      </c>
      <c r="I106" s="4"/>
      <c r="J106" s="4" t="n">
        <v>6</v>
      </c>
      <c r="K106" s="3" t="str">
        <f aca="false">TRIM(IF(B106="","sexo; ","")&amp;IF(C106="","data de nascimento; ","")&amp;IF(D106="","responsável; ","")&amp;IF(E106="","telefone; ","")&amp;IF(AND(G106="Sim",H106=""),"qual restrição; ",""))</f>
        <v/>
      </c>
      <c r="L106" s="6" t="s">
        <v>294</v>
      </c>
    </row>
    <row r="107" customFormat="false" ht="15" hidden="false" customHeight="false" outlineLevel="0" collapsed="false">
      <c r="A107" s="3" t="s">
        <v>295</v>
      </c>
      <c r="B107" s="4" t="s">
        <v>43</v>
      </c>
      <c r="C107" s="5" t="n">
        <v>42369</v>
      </c>
      <c r="D107" s="3" t="s">
        <v>221</v>
      </c>
      <c r="E107" s="3" t="s">
        <v>222</v>
      </c>
      <c r="F107" s="3"/>
      <c r="G107" s="4"/>
      <c r="H107" s="3"/>
      <c r="I107" s="4"/>
      <c r="J107" s="4" t="n">
        <v>1</v>
      </c>
      <c r="K107" s="3" t="str">
        <f aca="false">TRIM(IF(B107="","sexo; ","")&amp;IF(C107="","data de nascimento; ","")&amp;IF(D107="","responsável; ","")&amp;IF(E107="","telefone; ","")&amp;IF(AND(G107="Sim",H107=""),"qual restrição; ",""))</f>
        <v/>
      </c>
      <c r="L107" s="6"/>
    </row>
    <row r="108" customFormat="false" ht="15" hidden="false" customHeight="false" outlineLevel="0" collapsed="false">
      <c r="A108" s="3" t="s">
        <v>296</v>
      </c>
      <c r="B108" s="4" t="s">
        <v>43</v>
      </c>
      <c r="C108" s="5" t="n">
        <v>43270</v>
      </c>
      <c r="D108" s="3" t="s">
        <v>297</v>
      </c>
      <c r="E108" s="3" t="s">
        <v>298</v>
      </c>
      <c r="F108" s="3" t="s">
        <v>299</v>
      </c>
      <c r="G108" s="4"/>
      <c r="H108" s="3"/>
      <c r="I108" s="4"/>
      <c r="J108" s="4" t="n">
        <v>1</v>
      </c>
      <c r="K108" s="3" t="str">
        <f aca="false">TRIM(IF(B108="","sexo; ","")&amp;IF(C108="","data de nascimento; ","")&amp;IF(D108="","responsável; ","")&amp;IF(E108="","telefone; ","")&amp;IF(AND(G108="Sim",H108=""),"qual restrição; ",""))</f>
        <v/>
      </c>
      <c r="L108" s="6"/>
    </row>
    <row r="109" customFormat="false" ht="15" hidden="false" customHeight="false" outlineLevel="0" collapsed="false">
      <c r="A109" s="3" t="s">
        <v>300</v>
      </c>
      <c r="B109" s="4" t="s">
        <v>43</v>
      </c>
      <c r="C109" s="5"/>
      <c r="D109" s="3" t="s">
        <v>248</v>
      </c>
      <c r="E109" s="3"/>
      <c r="F109" s="3"/>
      <c r="G109" s="4"/>
      <c r="H109" s="3"/>
      <c r="I109" s="4"/>
      <c r="J109" s="4" t="n">
        <v>1</v>
      </c>
      <c r="K109" s="3" t="str">
        <f aca="false">TRIM(IF(B109="","sexo; ","")&amp;IF(C109="","data de nascimento; ","")&amp;IF(D109="","responsável; ","")&amp;IF(E109="","telefone; ","")&amp;IF(AND(G109="Sim",H109=""),"qual restrição; ",""))</f>
        <v>data de nascimento; telefone;</v>
      </c>
      <c r="L109" s="6"/>
    </row>
    <row r="110" customFormat="false" ht="15" hidden="false" customHeight="false" outlineLevel="0" collapsed="false">
      <c r="A110" s="3" t="s">
        <v>301</v>
      </c>
      <c r="B110" s="4" t="s">
        <v>43</v>
      </c>
      <c r="C110" s="5" t="n">
        <v>42375</v>
      </c>
      <c r="D110" s="3" t="s">
        <v>302</v>
      </c>
      <c r="E110" s="3" t="s">
        <v>303</v>
      </c>
      <c r="F110" s="3"/>
      <c r="G110" s="4"/>
      <c r="H110" s="3"/>
      <c r="I110" s="4"/>
      <c r="J110" s="4" t="n">
        <v>1</v>
      </c>
      <c r="K110" s="3" t="str">
        <f aca="false">TRIM(IF(B110="","sexo; ","")&amp;IF(C110="","data de nascimento; ","")&amp;IF(D110="","responsável; ","")&amp;IF(E110="","telefone; ","")&amp;IF(AND(G110="Sim",H110=""),"qual restrição; ",""))</f>
        <v/>
      </c>
      <c r="L110" s="6"/>
    </row>
    <row r="111" customFormat="false" ht="15" hidden="false" customHeight="false" outlineLevel="0" collapsed="false">
      <c r="A111" s="3" t="s">
        <v>304</v>
      </c>
      <c r="B111" s="4" t="s">
        <v>43</v>
      </c>
      <c r="C111" s="5"/>
      <c r="D111" s="3" t="s">
        <v>37</v>
      </c>
      <c r="E111" s="3" t="s">
        <v>38</v>
      </c>
      <c r="F111" s="3"/>
      <c r="G111" s="4"/>
      <c r="H111" s="3"/>
      <c r="I111" s="4"/>
      <c r="J111" s="4" t="n">
        <v>1</v>
      </c>
      <c r="K111" s="3" t="str">
        <f aca="false">TRIM(IF(B111="","sexo; ","")&amp;IF(C111="","data de nascimento; ","")&amp;IF(D111="","responsável; ","")&amp;IF(E111="","telefone; ","")&amp;IF(AND(G111="Sim",H111=""),"qual restrição; ",""))</f>
        <v>data de nascimento;</v>
      </c>
      <c r="L111" s="6"/>
    </row>
    <row r="112" customFormat="false" ht="15" hidden="false" customHeight="false" outlineLevel="0" collapsed="false">
      <c r="A112" s="3" t="s">
        <v>305</v>
      </c>
      <c r="B112" s="4" t="s">
        <v>43</v>
      </c>
      <c r="C112" s="5" t="n">
        <v>42518</v>
      </c>
      <c r="D112" s="3" t="s">
        <v>297</v>
      </c>
      <c r="E112" s="3" t="s">
        <v>298</v>
      </c>
      <c r="F112" s="3" t="s">
        <v>299</v>
      </c>
      <c r="G112" s="4"/>
      <c r="H112" s="3"/>
      <c r="I112" s="4"/>
      <c r="J112" s="4" t="n">
        <v>2</v>
      </c>
      <c r="K112" s="3" t="str">
        <f aca="false">TRIM(IF(B112="","sexo; ","")&amp;IF(C112="","data de nascimento; ","")&amp;IF(D112="","responsável; ","")&amp;IF(E112="","telefone; ","")&amp;IF(AND(G112="Sim",H112=""),"qual restrição; ",""))</f>
        <v/>
      </c>
      <c r="L112" s="6"/>
    </row>
    <row r="113" customFormat="false" ht="15" hidden="false" customHeight="false" outlineLevel="0" collapsed="false">
      <c r="A113" s="3" t="s">
        <v>306</v>
      </c>
      <c r="B113" s="4" t="s">
        <v>43</v>
      </c>
      <c r="C113" s="5" t="n">
        <v>43487</v>
      </c>
      <c r="D113" s="3" t="s">
        <v>307</v>
      </c>
      <c r="E113" s="3" t="s">
        <v>308</v>
      </c>
      <c r="F113" s="3"/>
      <c r="G113" s="4"/>
      <c r="H113" s="3"/>
      <c r="I113" s="4"/>
      <c r="J113" s="4" t="n">
        <v>1</v>
      </c>
      <c r="K113" s="3" t="str">
        <f aca="false">TRIM(IF(B113="","sexo; ","")&amp;IF(C113="","data de nascimento; ","")&amp;IF(D113="","responsável; ","")&amp;IF(E113="","telefone; ","")&amp;IF(AND(G113="Sim",H113=""),"qual restrição; ",""))</f>
        <v/>
      </c>
      <c r="L113" s="6"/>
    </row>
    <row r="114" customFormat="false" ht="15" hidden="false" customHeight="false" outlineLevel="0" collapsed="false">
      <c r="A114" s="3" t="s">
        <v>309</v>
      </c>
      <c r="B114" s="4" t="s">
        <v>13</v>
      </c>
      <c r="C114" s="5" t="n">
        <v>42362</v>
      </c>
      <c r="D114" s="3" t="s">
        <v>224</v>
      </c>
      <c r="E114" s="3" t="s">
        <v>225</v>
      </c>
      <c r="F114" s="3"/>
      <c r="G114" s="4"/>
      <c r="H114" s="3"/>
      <c r="I114" s="4"/>
      <c r="J114" s="4" t="n">
        <v>1</v>
      </c>
      <c r="K114" s="3" t="str">
        <f aca="false">TRIM(IF(B114="","sexo; ","")&amp;IF(C114="","data de nascimento; ","")&amp;IF(D114="","responsável; ","")&amp;IF(E114="","telefone; ","")&amp;IF(AND(G114="Sim",H114=""),"qual restrição; ",""))</f>
        <v/>
      </c>
      <c r="L114" s="6"/>
    </row>
    <row r="115" customFormat="false" ht="15" hidden="false" customHeight="false" outlineLevel="0" collapsed="false">
      <c r="A115" s="3" t="s">
        <v>310</v>
      </c>
      <c r="B115" s="4" t="s">
        <v>13</v>
      </c>
      <c r="C115" s="5" t="n">
        <v>44505</v>
      </c>
      <c r="D115" s="3" t="s">
        <v>214</v>
      </c>
      <c r="E115" s="3"/>
      <c r="F115" s="3"/>
      <c r="G115" s="4"/>
      <c r="H115" s="3"/>
      <c r="I115" s="4"/>
      <c r="J115" s="4" t="n">
        <v>2</v>
      </c>
      <c r="K115" s="3" t="str">
        <f aca="false">TRIM(IF(B115="","sexo; ","")&amp;IF(C115="","data de nascimento; ","")&amp;IF(D115="","responsável; ","")&amp;IF(E115="","telefone; ","")&amp;IF(AND(G115="Sim",H115=""),"qual restrição; ",""))</f>
        <v>telefone;</v>
      </c>
      <c r="L115" s="6"/>
    </row>
    <row r="116" customFormat="false" ht="15" hidden="false" customHeight="false" outlineLevel="0" collapsed="false">
      <c r="A116" s="3" t="s">
        <v>311</v>
      </c>
      <c r="B116" s="4" t="s">
        <v>43</v>
      </c>
      <c r="C116" s="5"/>
      <c r="D116" s="3"/>
      <c r="E116" s="3"/>
      <c r="F116" s="3"/>
      <c r="G116" s="4"/>
      <c r="H116" s="3"/>
      <c r="I116" s="4"/>
      <c r="J116" s="4" t="n">
        <v>1</v>
      </c>
      <c r="K116" s="3" t="str">
        <f aca="false">TRIM(IF(B116="","sexo; ","")&amp;IF(C116="","data de nascimento; ","")&amp;IF(D116="","responsável; ","")&amp;IF(E116="","telefone; ","")&amp;IF(AND(G116="Sim",H116=""),"qual restrição; ",""))</f>
        <v>data de nascimento; responsável; telefone;</v>
      </c>
      <c r="L116" s="6"/>
    </row>
    <row r="117" customFormat="false" ht="15" hidden="false" customHeight="false" outlineLevel="0" collapsed="false">
      <c r="A117" s="3" t="s">
        <v>312</v>
      </c>
      <c r="B117" s="4" t="s">
        <v>13</v>
      </c>
      <c r="C117" s="5" t="n">
        <v>43903</v>
      </c>
      <c r="D117" s="3" t="s">
        <v>313</v>
      </c>
      <c r="E117" s="3" t="s">
        <v>314</v>
      </c>
      <c r="F117" s="3" t="s">
        <v>16</v>
      </c>
      <c r="G117" s="4"/>
      <c r="H117" s="3"/>
      <c r="I117" s="4" t="s">
        <v>125</v>
      </c>
      <c r="J117" s="4" t="n">
        <v>11</v>
      </c>
      <c r="K117" s="3" t="str">
        <f aca="false">TRIM(IF(B117="","sexo; ","")&amp;IF(C117="","data de nascimento; ","")&amp;IF(D117="","responsável; ","")&amp;IF(E117="","telefone; ","")&amp;IF(AND(G117="Sim",H117=""),"qual restrição; ",""))</f>
        <v/>
      </c>
      <c r="L117" s="6" t="s">
        <v>315</v>
      </c>
    </row>
    <row r="118" customFormat="false" ht="23.85" hidden="false" customHeight="false" outlineLevel="0" collapsed="false">
      <c r="A118" s="3" t="s">
        <v>316</v>
      </c>
      <c r="B118" s="4" t="s">
        <v>43</v>
      </c>
      <c r="C118" s="5" t="n">
        <v>43347</v>
      </c>
      <c r="D118" s="3" t="s">
        <v>317</v>
      </c>
      <c r="E118" s="3" t="s">
        <v>318</v>
      </c>
      <c r="F118" s="3"/>
      <c r="G118" s="4"/>
      <c r="H118" s="3"/>
      <c r="I118" s="4" t="s">
        <v>125</v>
      </c>
      <c r="J118" s="4" t="n">
        <v>2</v>
      </c>
      <c r="K118" s="3" t="str">
        <f aca="false">TRIM(IF(B118="","sexo; ","")&amp;IF(C118="","data de nascimento; ","")&amp;IF(D118="","responsável; ","")&amp;IF(E118="","telefone; ","")&amp;IF(AND(G118="Sim",H118=""),"qual restrição; ",""))</f>
        <v/>
      </c>
      <c r="L118" s="6" t="s">
        <v>319</v>
      </c>
    </row>
    <row r="119" customFormat="false" ht="15" hidden="false" customHeight="false" outlineLevel="0" collapsed="false">
      <c r="A119" s="3" t="s">
        <v>320</v>
      </c>
      <c r="B119" s="4" t="s">
        <v>13</v>
      </c>
      <c r="C119" s="5" t="n">
        <v>44357</v>
      </c>
      <c r="D119" s="3" t="s">
        <v>275</v>
      </c>
      <c r="E119" s="3" t="s">
        <v>276</v>
      </c>
      <c r="F119" s="3"/>
      <c r="G119" s="4"/>
      <c r="H119" s="3"/>
      <c r="I119" s="4"/>
      <c r="J119" s="4" t="n">
        <v>1</v>
      </c>
      <c r="K119" s="3" t="str">
        <f aca="false">TRIM(IF(B119="","sexo; ","")&amp;IF(C119="","data de nascimento; ","")&amp;IF(D119="","responsável; ","")&amp;IF(E119="","telefone; ","")&amp;IF(AND(G119="Sim",H119=""),"qual restrição; ",""))</f>
        <v/>
      </c>
      <c r="L119" s="6"/>
    </row>
    <row r="120" customFormat="false" ht="15" hidden="false" customHeight="false" outlineLevel="0" collapsed="false">
      <c r="A120" s="3" t="s">
        <v>321</v>
      </c>
      <c r="B120" s="4" t="s">
        <v>43</v>
      </c>
      <c r="C120" s="5" t="n">
        <v>42148</v>
      </c>
      <c r="D120" s="3" t="s">
        <v>322</v>
      </c>
      <c r="E120" s="3" t="s">
        <v>323</v>
      </c>
      <c r="F120" s="3" t="s">
        <v>16</v>
      </c>
      <c r="G120" s="4"/>
      <c r="H120" s="3"/>
      <c r="I120" s="4"/>
      <c r="J120" s="4" t="n">
        <v>11</v>
      </c>
      <c r="K120" s="3" t="str">
        <f aca="false">TRIM(IF(B120="","sexo; ","")&amp;IF(C120="","data de nascimento; ","")&amp;IF(D120="","responsável; ","")&amp;IF(E120="","telefone; ","")&amp;IF(AND(G120="Sim",H120=""),"qual restrição; ",""))</f>
        <v/>
      </c>
      <c r="L120" s="6"/>
    </row>
    <row r="121" customFormat="false" ht="15" hidden="false" customHeight="false" outlineLevel="0" collapsed="false">
      <c r="A121" s="3" t="s">
        <v>324</v>
      </c>
      <c r="B121" s="4" t="s">
        <v>43</v>
      </c>
      <c r="C121" s="5" t="n">
        <v>43601</v>
      </c>
      <c r="D121" s="3" t="s">
        <v>325</v>
      </c>
      <c r="E121" s="3" t="s">
        <v>326</v>
      </c>
      <c r="F121" s="3"/>
      <c r="G121" s="4"/>
      <c r="H121" s="3"/>
      <c r="I121" s="4"/>
      <c r="J121" s="4" t="n">
        <v>2</v>
      </c>
      <c r="K121" s="3" t="str">
        <f aca="false">TRIM(IF(B121="","sexo; ","")&amp;IF(C121="","data de nascimento; ","")&amp;IF(D121="","responsável; ","")&amp;IF(E121="","telefone; ","")&amp;IF(AND(G121="Sim",H121=""),"qual restrição; ",""))</f>
        <v/>
      </c>
      <c r="L121" s="6"/>
    </row>
    <row r="122" customFormat="false" ht="15" hidden="false" customHeight="false" outlineLevel="0" collapsed="false">
      <c r="A122" s="3" t="s">
        <v>327</v>
      </c>
      <c r="B122" s="4" t="s">
        <v>13</v>
      </c>
      <c r="C122" s="5" t="n">
        <v>44297</v>
      </c>
      <c r="D122" s="3" t="s">
        <v>328</v>
      </c>
      <c r="E122" s="3" t="s">
        <v>329</v>
      </c>
      <c r="F122" s="3" t="s">
        <v>16</v>
      </c>
      <c r="G122" s="4" t="s">
        <v>125</v>
      </c>
      <c r="H122" s="3"/>
      <c r="I122" s="4"/>
      <c r="J122" s="4" t="n">
        <v>11</v>
      </c>
      <c r="K122" s="3" t="str">
        <f aca="false">TRIM(IF(B122="","sexo; ","")&amp;IF(C122="","data de nascimento; ","")&amp;IF(D122="","responsável; ","")&amp;IF(E122="","telefone; ","")&amp;IF(AND(G122="Sim",H122=""),"qual restrição; ",""))</f>
        <v>qual restrição;</v>
      </c>
      <c r="L122" s="6" t="s">
        <v>330</v>
      </c>
    </row>
    <row r="123" customFormat="false" ht="15" hidden="false" customHeight="false" outlineLevel="0" collapsed="false">
      <c r="A123" s="3" t="s">
        <v>331</v>
      </c>
      <c r="B123" s="4" t="s">
        <v>13</v>
      </c>
      <c r="C123" s="5"/>
      <c r="D123" s="3" t="s">
        <v>110</v>
      </c>
      <c r="E123" s="3"/>
      <c r="F123" s="3"/>
      <c r="G123" s="4"/>
      <c r="H123" s="3"/>
      <c r="I123" s="4"/>
      <c r="J123" s="4" t="n">
        <v>1</v>
      </c>
      <c r="K123" s="3" t="str">
        <f aca="false">TRIM(IF(B123="","sexo; ","")&amp;IF(C123="","data de nascimento; ","")&amp;IF(D123="","responsável; ","")&amp;IF(E123="","telefone; ","")&amp;IF(AND(G123="Sim",H123=""),"qual restrição; ",""))</f>
        <v>data de nascimento; telefone;</v>
      </c>
      <c r="L123" s="6"/>
    </row>
    <row r="124" customFormat="false" ht="15" hidden="false" customHeight="false" outlineLevel="0" collapsed="false">
      <c r="A124" s="3" t="s">
        <v>332</v>
      </c>
      <c r="B124" s="4" t="s">
        <v>13</v>
      </c>
      <c r="C124" s="5" t="n">
        <v>44075</v>
      </c>
      <c r="D124" s="3" t="s">
        <v>333</v>
      </c>
      <c r="E124" s="3" t="s">
        <v>334</v>
      </c>
      <c r="F124" s="3"/>
      <c r="G124" s="4"/>
      <c r="H124" s="3"/>
      <c r="I124" s="4"/>
      <c r="J124" s="4" t="n">
        <v>2</v>
      </c>
      <c r="K124" s="3" t="str">
        <f aca="false">TRIM(IF(B124="","sexo; ","")&amp;IF(C124="","data de nascimento; ","")&amp;IF(D124="","responsável; ","")&amp;IF(E124="","telefone; ","")&amp;IF(AND(G124="Sim",H124=""),"qual restrição; ",""))</f>
        <v/>
      </c>
      <c r="L124" s="6"/>
    </row>
    <row r="125" customFormat="false" ht="15" hidden="false" customHeight="false" outlineLevel="0" collapsed="false">
      <c r="A125" s="3" t="s">
        <v>335</v>
      </c>
      <c r="B125" s="4" t="s">
        <v>43</v>
      </c>
      <c r="C125" s="5" t="n">
        <v>42990</v>
      </c>
      <c r="D125" s="3" t="s">
        <v>336</v>
      </c>
      <c r="E125" s="3" t="s">
        <v>337</v>
      </c>
      <c r="F125" s="3"/>
      <c r="G125" s="4"/>
      <c r="H125" s="3"/>
      <c r="I125" s="4"/>
      <c r="J125" s="4" t="n">
        <v>3</v>
      </c>
      <c r="K125" s="3" t="str">
        <f aca="false">TRIM(IF(B125="","sexo; ","")&amp;IF(C125="","data de nascimento; ","")&amp;IF(D125="","responsável; ","")&amp;IF(E125="","telefone; ","")&amp;IF(AND(G125="Sim",H125=""),"qual restrição; ",""))</f>
        <v/>
      </c>
      <c r="L125" s="6"/>
    </row>
    <row r="126" customFormat="false" ht="15" hidden="false" customHeight="false" outlineLevel="0" collapsed="false">
      <c r="A126" s="3" t="s">
        <v>338</v>
      </c>
      <c r="B126" s="4" t="s">
        <v>43</v>
      </c>
      <c r="C126" s="5" t="n">
        <v>42005</v>
      </c>
      <c r="D126" s="3" t="s">
        <v>265</v>
      </c>
      <c r="E126" s="3" t="s">
        <v>266</v>
      </c>
      <c r="F126" s="3"/>
      <c r="G126" s="4"/>
      <c r="H126" s="3"/>
      <c r="I126" s="4"/>
      <c r="J126" s="4" t="n">
        <v>2</v>
      </c>
      <c r="K126" s="3" t="str">
        <f aca="false">TRIM(IF(B126="","sexo; ","")&amp;IF(C126="","data de nascimento; ","")&amp;IF(D126="","responsável; ","")&amp;IF(E126="","telefone; ","")&amp;IF(AND(G126="Sim",H126=""),"qual restrição; ",""))</f>
        <v/>
      </c>
      <c r="L126" s="6"/>
    </row>
    <row r="127" customFormat="false" ht="15" hidden="false" customHeight="false" outlineLevel="0" collapsed="false">
      <c r="A127" s="3" t="s">
        <v>339</v>
      </c>
      <c r="B127" s="4" t="s">
        <v>43</v>
      </c>
      <c r="C127" s="5" t="n">
        <v>41708</v>
      </c>
      <c r="D127" s="3" t="s">
        <v>340</v>
      </c>
      <c r="E127" s="3"/>
      <c r="F127" s="3"/>
      <c r="G127" s="4"/>
      <c r="H127" s="3"/>
      <c r="I127" s="4"/>
      <c r="J127" s="4" t="n">
        <v>1</v>
      </c>
      <c r="K127" s="3" t="str">
        <f aca="false">TRIM(IF(B127="","sexo; ","")&amp;IF(C127="","data de nascimento; ","")&amp;IF(D127="","responsável; ","")&amp;IF(E127="","telefone; ","")&amp;IF(AND(G127="Sim",H127=""),"qual restrição; ",""))</f>
        <v>telefone;</v>
      </c>
      <c r="L127" s="6"/>
    </row>
    <row r="128" customFormat="false" ht="15" hidden="false" customHeight="false" outlineLevel="0" collapsed="false">
      <c r="A128" s="3" t="s">
        <v>341</v>
      </c>
      <c r="B128" s="4" t="s">
        <v>43</v>
      </c>
      <c r="C128" s="5" t="n">
        <v>44183</v>
      </c>
      <c r="D128" s="3" t="s">
        <v>342</v>
      </c>
      <c r="E128" s="3" t="s">
        <v>343</v>
      </c>
      <c r="F128" s="3"/>
      <c r="G128" s="4"/>
      <c r="H128" s="3"/>
      <c r="I128" s="4"/>
      <c r="J128" s="4" t="n">
        <v>15</v>
      </c>
      <c r="K128" s="3" t="str">
        <f aca="false">TRIM(IF(B128="","sexo; ","")&amp;IF(C128="","data de nascimento; ","")&amp;IF(D128="","responsável; ","")&amp;IF(E128="","telefone; ","")&amp;IF(AND(G128="Sim",H128=""),"qual restrição; ",""))</f>
        <v/>
      </c>
      <c r="L128" s="6"/>
    </row>
    <row r="129" customFormat="false" ht="15" hidden="false" customHeight="false" outlineLevel="0" collapsed="false">
      <c r="A129" s="3" t="s">
        <v>344</v>
      </c>
      <c r="B129" s="4" t="s">
        <v>43</v>
      </c>
      <c r="C129" s="5"/>
      <c r="D129" s="3" t="s">
        <v>93</v>
      </c>
      <c r="E129" s="3" t="s">
        <v>345</v>
      </c>
      <c r="F129" s="3"/>
      <c r="G129" s="4"/>
      <c r="H129" s="3"/>
      <c r="I129" s="4"/>
      <c r="J129" s="4" t="n">
        <v>1</v>
      </c>
      <c r="K129" s="3" t="str">
        <f aca="false">TRIM(IF(B129="","sexo; ","")&amp;IF(C129="","data de nascimento; ","")&amp;IF(D129="","responsável; ","")&amp;IF(E129="","telefone; ","")&amp;IF(AND(G129="Sim",H129=""),"qual restrição; ",""))</f>
        <v>data de nascimento;</v>
      </c>
      <c r="L129" s="6"/>
    </row>
    <row r="130" customFormat="false" ht="15" hidden="false" customHeight="false" outlineLevel="0" collapsed="false">
      <c r="A130" s="3" t="s">
        <v>346</v>
      </c>
      <c r="B130" s="4" t="s">
        <v>13</v>
      </c>
      <c r="C130" s="5"/>
      <c r="D130" s="3" t="s">
        <v>347</v>
      </c>
      <c r="E130" s="3" t="s">
        <v>348</v>
      </c>
      <c r="F130" s="3"/>
      <c r="G130" s="4"/>
      <c r="H130" s="3"/>
      <c r="I130" s="4"/>
      <c r="J130" s="4" t="n">
        <v>1</v>
      </c>
      <c r="K130" s="3" t="str">
        <f aca="false">TRIM(IF(B130="","sexo; ","")&amp;IF(C130="","data de nascimento; ","")&amp;IF(D130="","responsável; ","")&amp;IF(E130="","telefone; ","")&amp;IF(AND(G130="Sim",H130=""),"qual restrição; ",""))</f>
        <v>data de nascimento;</v>
      </c>
      <c r="L130" s="6"/>
    </row>
    <row r="131" customFormat="false" ht="15" hidden="false" customHeight="false" outlineLevel="0" collapsed="false">
      <c r="A131" s="3" t="s">
        <v>349</v>
      </c>
      <c r="B131" s="4" t="s">
        <v>13</v>
      </c>
      <c r="C131" s="5" t="n">
        <v>44679</v>
      </c>
      <c r="D131" s="3" t="s">
        <v>350</v>
      </c>
      <c r="E131" s="3" t="s">
        <v>351</v>
      </c>
      <c r="F131" s="3" t="s">
        <v>16</v>
      </c>
      <c r="G131" s="4"/>
      <c r="H131" s="3"/>
      <c r="I131" s="4"/>
      <c r="J131" s="4" t="n">
        <v>5</v>
      </c>
      <c r="K131" s="3" t="str">
        <f aca="false">TRIM(IF(B131="","sexo; ","")&amp;IF(C131="","data de nascimento; ","")&amp;IF(D131="","responsável; ","")&amp;IF(E131="","telefone; ","")&amp;IF(AND(G131="Sim",H131=""),"qual restrição; ",""))</f>
        <v/>
      </c>
      <c r="L131" s="6"/>
    </row>
    <row r="132" customFormat="false" ht="15" hidden="false" customHeight="false" outlineLevel="0" collapsed="false">
      <c r="A132" s="3" t="s">
        <v>352</v>
      </c>
      <c r="B132" s="4" t="s">
        <v>43</v>
      </c>
      <c r="C132" s="5" t="n">
        <v>43309</v>
      </c>
      <c r="D132" s="3" t="s">
        <v>353</v>
      </c>
      <c r="E132" s="3" t="s">
        <v>354</v>
      </c>
      <c r="F132" s="3"/>
      <c r="G132" s="4"/>
      <c r="H132" s="3"/>
      <c r="I132" s="4"/>
      <c r="J132" s="4" t="n">
        <v>2</v>
      </c>
      <c r="K132" s="3" t="str">
        <f aca="false">TRIM(IF(B132="","sexo; ","")&amp;IF(C132="","data de nascimento; ","")&amp;IF(D132="","responsável; ","")&amp;IF(E132="","telefone; ","")&amp;IF(AND(G132="Sim",H132=""),"qual restrição; ",""))</f>
        <v/>
      </c>
      <c r="L132" s="6"/>
    </row>
    <row r="133" customFormat="false" ht="15" hidden="false" customHeight="false" outlineLevel="0" collapsed="false">
      <c r="A133" s="3" t="s">
        <v>355</v>
      </c>
      <c r="B133" s="4" t="s">
        <v>13</v>
      </c>
      <c r="C133" s="5" t="n">
        <v>41991</v>
      </c>
      <c r="D133" s="3" t="s">
        <v>275</v>
      </c>
      <c r="E133" s="3" t="s">
        <v>276</v>
      </c>
      <c r="F133" s="3"/>
      <c r="G133" s="4"/>
      <c r="H133" s="3"/>
      <c r="I133" s="4"/>
      <c r="J133" s="4" t="n">
        <v>1</v>
      </c>
      <c r="K133" s="3" t="str">
        <f aca="false">TRIM(IF(B133="","sexo; ","")&amp;IF(C133="","data de nascimento; ","")&amp;IF(D133="","responsável; ","")&amp;IF(E133="","telefone; ","")&amp;IF(AND(G133="Sim",H133=""),"qual restrição; ",""))</f>
        <v/>
      </c>
      <c r="L133" s="6"/>
    </row>
    <row r="134" customFormat="false" ht="15" hidden="false" customHeight="false" outlineLevel="0" collapsed="false">
      <c r="A134" s="3" t="s">
        <v>356</v>
      </c>
      <c r="B134" s="4" t="s">
        <v>43</v>
      </c>
      <c r="C134" s="5" t="n">
        <v>43490</v>
      </c>
      <c r="D134" s="3" t="s">
        <v>357</v>
      </c>
      <c r="E134" s="3" t="s">
        <v>358</v>
      </c>
      <c r="F134" s="3"/>
      <c r="G134" s="4"/>
      <c r="H134" s="3"/>
      <c r="I134" s="4"/>
      <c r="J134" s="4" t="n">
        <v>1</v>
      </c>
      <c r="K134" s="3" t="str">
        <f aca="false">TRIM(IF(B134="","sexo; ","")&amp;IF(C134="","data de nascimento; ","")&amp;IF(D134="","responsável; ","")&amp;IF(E134="","telefone; ","")&amp;IF(AND(G134="Sim",H134=""),"qual restrição; ",""))</f>
        <v/>
      </c>
      <c r="L134" s="6"/>
    </row>
    <row r="135" customFormat="false" ht="15" hidden="false" customHeight="false" outlineLevel="0" collapsed="false">
      <c r="A135" s="3" t="s">
        <v>359</v>
      </c>
      <c r="B135" s="4" t="s">
        <v>43</v>
      </c>
      <c r="C135" s="5" t="n">
        <v>41848</v>
      </c>
      <c r="D135" s="3" t="s">
        <v>360</v>
      </c>
      <c r="E135" s="3" t="s">
        <v>361</v>
      </c>
      <c r="F135" s="3"/>
      <c r="G135" s="4"/>
      <c r="H135" s="3"/>
      <c r="I135" s="4"/>
      <c r="J135" s="4" t="n">
        <v>3</v>
      </c>
      <c r="K135" s="3" t="str">
        <f aca="false">TRIM(IF(B135="","sexo; ","")&amp;IF(C135="","data de nascimento; ","")&amp;IF(D135="","responsável; ","")&amp;IF(E135="","telefone; ","")&amp;IF(AND(G135="Sim",H135=""),"qual restrição; ",""))</f>
        <v/>
      </c>
      <c r="L135" s="6"/>
    </row>
    <row r="136" customFormat="false" ht="15" hidden="false" customHeight="false" outlineLevel="0" collapsed="false">
      <c r="A136" s="3" t="s">
        <v>362</v>
      </c>
      <c r="B136" s="4" t="s">
        <v>13</v>
      </c>
      <c r="C136" s="5"/>
      <c r="D136" s="3"/>
      <c r="E136" s="3"/>
      <c r="F136" s="3"/>
      <c r="G136" s="4"/>
      <c r="H136" s="3"/>
      <c r="I136" s="4"/>
      <c r="J136" s="4" t="n">
        <v>1</v>
      </c>
      <c r="K136" s="3" t="str">
        <f aca="false">TRIM(IF(B136="","sexo; ","")&amp;IF(C136="","data de nascimento; ","")&amp;IF(D136="","responsável; ","")&amp;IF(E136="","telefone; ","")&amp;IF(AND(G136="Sim",H136=""),"qual restrição; ",""))</f>
        <v>data de nascimento; responsável; telefone;</v>
      </c>
      <c r="L136" s="6"/>
    </row>
    <row r="137" customFormat="false" ht="15" hidden="false" customHeight="false" outlineLevel="0" collapsed="false">
      <c r="A137" s="3" t="s">
        <v>363</v>
      </c>
      <c r="B137" s="4" t="s">
        <v>13</v>
      </c>
      <c r="C137" s="5" t="n">
        <v>42931</v>
      </c>
      <c r="D137" s="3" t="s">
        <v>364</v>
      </c>
      <c r="E137" s="3"/>
      <c r="F137" s="3"/>
      <c r="G137" s="4"/>
      <c r="H137" s="3"/>
      <c r="I137" s="4"/>
      <c r="J137" s="4" t="n">
        <v>3</v>
      </c>
      <c r="K137" s="3" t="str">
        <f aca="false">TRIM(IF(B137="","sexo; ","")&amp;IF(C137="","data de nascimento; ","")&amp;IF(D137="","responsável; ","")&amp;IF(E137="","telefone; ","")&amp;IF(AND(G137="Sim",H137=""),"qual restrição; ",""))</f>
        <v>telefone;</v>
      </c>
      <c r="L137" s="6"/>
    </row>
    <row r="138" customFormat="false" ht="15" hidden="false" customHeight="false" outlineLevel="0" collapsed="false">
      <c r="A138" s="3" t="s">
        <v>365</v>
      </c>
      <c r="B138" s="4" t="s">
        <v>13</v>
      </c>
      <c r="C138" s="5"/>
      <c r="D138" s="3" t="s">
        <v>209</v>
      </c>
      <c r="E138" s="3"/>
      <c r="F138" s="3"/>
      <c r="G138" s="4"/>
      <c r="H138" s="3"/>
      <c r="I138" s="4"/>
      <c r="J138" s="4" t="n">
        <v>2</v>
      </c>
      <c r="K138" s="3" t="str">
        <f aca="false">TRIM(IF(B138="","sexo; ","")&amp;IF(C138="","data de nascimento; ","")&amp;IF(D138="","responsável; ","")&amp;IF(E138="","telefone; ","")&amp;IF(AND(G138="Sim",H138=""),"qual restrição; ",""))</f>
        <v>data de nascimento; telefone;</v>
      </c>
      <c r="L138" s="6"/>
    </row>
    <row r="139" customFormat="false" ht="15" hidden="false" customHeight="false" outlineLevel="0" collapsed="false">
      <c r="A139" s="3" t="s">
        <v>366</v>
      </c>
      <c r="B139" s="4" t="s">
        <v>13</v>
      </c>
      <c r="C139" s="5" t="n">
        <v>42273</v>
      </c>
      <c r="D139" s="3" t="s">
        <v>347</v>
      </c>
      <c r="E139" s="3" t="s">
        <v>367</v>
      </c>
      <c r="F139" s="3"/>
      <c r="G139" s="4"/>
      <c r="H139" s="3"/>
      <c r="I139" s="4"/>
      <c r="J139" s="4" t="n">
        <v>1</v>
      </c>
      <c r="K139" s="3" t="str">
        <f aca="false">TRIM(IF(B139="","sexo; ","")&amp;IF(C139="","data de nascimento; ","")&amp;IF(D139="","responsável; ","")&amp;IF(E139="","telefone; ","")&amp;IF(AND(G139="Sim",H139=""),"qual restrição; ",""))</f>
        <v/>
      </c>
      <c r="L139" s="6"/>
    </row>
    <row r="140" customFormat="false" ht="15" hidden="false" customHeight="false" outlineLevel="0" collapsed="false">
      <c r="A140" s="3" t="s">
        <v>368</v>
      </c>
      <c r="B140" s="4" t="s">
        <v>43</v>
      </c>
      <c r="C140" s="5" t="n">
        <v>43952</v>
      </c>
      <c r="D140" s="3" t="s">
        <v>369</v>
      </c>
      <c r="E140" s="3" t="s">
        <v>370</v>
      </c>
      <c r="F140" s="3"/>
      <c r="G140" s="4"/>
      <c r="H140" s="3"/>
      <c r="I140" s="4"/>
      <c r="J140" s="4" t="n">
        <v>1</v>
      </c>
      <c r="K140" s="3" t="str">
        <f aca="false">TRIM(IF(B140="","sexo; ","")&amp;IF(C140="","data de nascimento; ","")&amp;IF(D140="","responsável; ","")&amp;IF(E140="","telefone; ","")&amp;IF(AND(G140="Sim",H140=""),"qual restrição; ",""))</f>
        <v/>
      </c>
      <c r="L140" s="6"/>
    </row>
  </sheetData>
  <autoFilter ref="A1:L140"/>
  <conditionalFormatting sqref="B2:E140">
    <cfRule type="expression" priority="2" aboveAverage="0" equalAverage="0" bottom="0" percent="0" rank="0" text="" dxfId="6">
      <formula>B2=""</formula>
    </cfRule>
  </conditionalFormatting>
  <conditionalFormatting sqref="H2:H140">
    <cfRule type="expression" priority="3" aboveAverage="0" equalAverage="0" bottom="0" percent="0" rank="0" text="" dxfId="7">
      <formula>AND($G2="Sim",$H2="")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7" t="s">
        <v>371</v>
      </c>
    </row>
    <row r="3" customFormat="false" ht="15" hidden="false" customHeight="false" outlineLevel="0" collapsed="false">
      <c r="A3" s="8" t="s">
        <v>372</v>
      </c>
      <c r="B3" s="9" t="n">
        <f aca="false">COUNTA(Crianças!A2:A140)</f>
        <v>139</v>
      </c>
    </row>
    <row r="4" customFormat="false" ht="15" hidden="false" customHeight="false" outlineLevel="0" collapsed="false">
      <c r="A4" s="8" t="s">
        <v>373</v>
      </c>
      <c r="B4" s="9" t="n">
        <f aca="false">COUNTIF(Crianças!B2:B140,"M")</f>
        <v>62</v>
      </c>
    </row>
    <row r="5" customFormat="false" ht="15" hidden="false" customHeight="false" outlineLevel="0" collapsed="false">
      <c r="A5" s="8" t="s">
        <v>374</v>
      </c>
      <c r="B5" s="9" t="n">
        <f aca="false">COUNTIF(Crianças!B2:B140,"F")</f>
        <v>77</v>
      </c>
    </row>
    <row r="6" customFormat="false" ht="15" hidden="false" customHeight="false" outlineLevel="0" collapsed="false">
      <c r="A6" s="8" t="s">
        <v>375</v>
      </c>
      <c r="B6" s="9" t="n">
        <f aca="false">COUNTIF(Crianças!I2:I140,"Sim")</f>
        <v>5</v>
      </c>
    </row>
    <row r="7" customFormat="false" ht="15" hidden="false" customHeight="false" outlineLevel="0" collapsed="false">
      <c r="A7" s="8" t="s">
        <v>376</v>
      </c>
      <c r="B7" s="9" t="n">
        <f aca="false">COUNTIF(Crianças!G2:G140,"Sim")</f>
        <v>5</v>
      </c>
    </row>
    <row r="8" customFormat="false" ht="15" hidden="false" customHeight="false" outlineLevel="0" collapsed="false">
      <c r="A8" s="8" t="s">
        <v>377</v>
      </c>
      <c r="B8" s="9" t="n">
        <f aca="false">COUNTA(Crianças!F2:F140)</f>
        <v>26</v>
      </c>
    </row>
    <row r="9" customFormat="false" ht="15" hidden="false" customHeight="false" outlineLevel="0" collapsed="false">
      <c r="A9" s="8" t="s">
        <v>378</v>
      </c>
      <c r="B9" s="9" t="n">
        <f aca="false">COUNTBLANK(Crianças!C2:C140)</f>
        <v>28</v>
      </c>
    </row>
    <row r="10" customFormat="false" ht="15" hidden="false" customHeight="false" outlineLevel="0" collapsed="false">
      <c r="A10" s="8" t="s">
        <v>379</v>
      </c>
      <c r="B10" s="9" t="n">
        <f aca="false">COUNTBLANK(Crianças!D2:D140)</f>
        <v>6</v>
      </c>
    </row>
    <row r="11" customFormat="false" ht="15" hidden="false" customHeight="false" outlineLevel="0" collapsed="false">
      <c r="A11" s="8" t="s">
        <v>380</v>
      </c>
      <c r="B11" s="9" t="n">
        <f aca="false">COUNTBLANK(Crianças!E2:E140)</f>
        <v>26</v>
      </c>
    </row>
    <row r="12" customFormat="false" ht="15" hidden="false" customHeight="false" outlineLevel="0" collapsed="false">
      <c r="A12" s="8" t="s">
        <v>381</v>
      </c>
      <c r="B12" s="9" t="n">
        <f aca="false">COUNTIF(Crianças!K2:K140,"?*")</f>
        <v>39</v>
      </c>
    </row>
    <row r="14" customFormat="false" ht="15" hidden="false" customHeight="false" outlineLevel="0" collapsed="false">
      <c r="A14" s="10" t="s">
        <v>382</v>
      </c>
    </row>
    <row r="15" customFormat="false" ht="15" hidden="false" customHeight="false" outlineLevel="0" collapsed="false">
      <c r="A15" s="8" t="s">
        <v>383</v>
      </c>
      <c r="B15" s="10" t="s">
        <v>384</v>
      </c>
    </row>
    <row r="16" customFormat="false" ht="15" hidden="false" customHeight="false" outlineLevel="0" collapsed="false">
      <c r="A16" s="11" t="n">
        <v>1</v>
      </c>
      <c r="B16" s="12" t="n">
        <f aca="false">COUNTIF(Crianças!J2:J140,"&gt;="&amp;A16)</f>
        <v>139</v>
      </c>
    </row>
    <row r="17" customFormat="false" ht="15" hidden="false" customHeight="false" outlineLevel="0" collapsed="false">
      <c r="A17" s="11" t="n">
        <v>2</v>
      </c>
      <c r="B17" s="12" t="n">
        <f aca="false">COUNTIF(Crianças!J2:J140,"&gt;="&amp;A17)</f>
        <v>72</v>
      </c>
    </row>
    <row r="18" customFormat="false" ht="15" hidden="false" customHeight="false" outlineLevel="0" collapsed="false">
      <c r="A18" s="11" t="n">
        <v>3</v>
      </c>
      <c r="B18" s="12" t="n">
        <f aca="false">COUNTIF(Crianças!J2:J140,"&gt;="&amp;A18)</f>
        <v>53</v>
      </c>
    </row>
    <row r="19" customFormat="false" ht="15" hidden="false" customHeight="false" outlineLevel="0" collapsed="false">
      <c r="A19" s="11" t="n">
        <v>4</v>
      </c>
      <c r="B19" s="12" t="n">
        <f aca="false">COUNTIF(Crianças!J2:J140,"&gt;="&amp;A19)</f>
        <v>43</v>
      </c>
    </row>
    <row r="20" customFormat="false" ht="15" hidden="false" customHeight="false" outlineLevel="0" collapsed="false">
      <c r="A20" s="11" t="n">
        <v>5</v>
      </c>
      <c r="B20" s="12" t="n">
        <f aca="false">COUNTIF(Crianças!J2:J140,"&gt;="&amp;A20)</f>
        <v>37</v>
      </c>
    </row>
    <row r="22" customFormat="false" ht="15" hidden="false" customHeight="false" outlineLevel="0" collapsed="false">
      <c r="A22" s="8" t="s">
        <v>385</v>
      </c>
    </row>
    <row r="23" customFormat="false" ht="15" hidden="false" customHeight="false" outlineLevel="0" collapsed="false">
      <c r="A23" s="8" t="s">
        <v>386</v>
      </c>
    </row>
    <row r="24" customFormat="false" ht="15" hidden="false" customHeight="false" outlineLevel="0" collapsed="false">
      <c r="A24" s="8" t="s">
        <v>387</v>
      </c>
    </row>
    <row r="25" customFormat="false" ht="15" hidden="false" customHeight="false" outlineLevel="0" collapsed="false">
      <c r="A25" s="8" t="s">
        <v>388</v>
      </c>
    </row>
    <row r="26" customFormat="false" ht="15" hidden="false" customHeight="false" outlineLevel="0" collapsed="false">
      <c r="A26" s="8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3" t="s">
        <v>390</v>
      </c>
    </row>
    <row r="2" customFormat="false" ht="15" hidden="false" customHeight="false" outlineLevel="0" collapsed="false">
      <c r="A2" s="14" t="s">
        <v>391</v>
      </c>
      <c r="B2" s="14" t="s">
        <v>392</v>
      </c>
      <c r="C2" s="14" t="s">
        <v>393</v>
      </c>
      <c r="D2" s="14" t="s">
        <v>394</v>
      </c>
    </row>
    <row r="3" customFormat="false" ht="23.85" hidden="false" customHeight="false" outlineLevel="0" collapsed="false">
      <c r="A3" s="6" t="s">
        <v>20</v>
      </c>
      <c r="B3" s="6" t="s">
        <v>395</v>
      </c>
      <c r="C3" s="6" t="s">
        <v>396</v>
      </c>
      <c r="D3" s="6" t="s">
        <v>397</v>
      </c>
    </row>
    <row r="4" customFormat="false" ht="23.85" hidden="false" customHeight="false" outlineLevel="0" collapsed="false">
      <c r="A4" s="6" t="s">
        <v>55</v>
      </c>
      <c r="B4" s="6" t="s">
        <v>398</v>
      </c>
      <c r="C4" s="6" t="s">
        <v>396</v>
      </c>
      <c r="D4" s="6" t="s">
        <v>399</v>
      </c>
    </row>
    <row r="5" customFormat="false" ht="15" hidden="false" customHeight="false" outlineLevel="0" collapsed="false">
      <c r="A5" s="6" t="s">
        <v>61</v>
      </c>
      <c r="B5" s="6" t="s">
        <v>400</v>
      </c>
      <c r="C5" s="6" t="s">
        <v>401</v>
      </c>
      <c r="D5" s="6" t="s">
        <v>402</v>
      </c>
    </row>
    <row r="6" customFormat="false" ht="15" hidden="false" customHeight="false" outlineLevel="0" collapsed="false">
      <c r="A6" s="6" t="s">
        <v>64</v>
      </c>
      <c r="B6" s="6" t="s">
        <v>403</v>
      </c>
      <c r="C6" s="6" t="s">
        <v>401</v>
      </c>
      <c r="D6" s="6" t="s">
        <v>404</v>
      </c>
    </row>
    <row r="7" customFormat="false" ht="15" hidden="false" customHeight="false" outlineLevel="0" collapsed="false">
      <c r="A7" s="6" t="s">
        <v>94</v>
      </c>
      <c r="B7" s="6" t="s">
        <v>405</v>
      </c>
      <c r="C7" s="6" t="s">
        <v>401</v>
      </c>
      <c r="D7" s="6" t="s">
        <v>406</v>
      </c>
    </row>
    <row r="8" customFormat="false" ht="23.85" hidden="false" customHeight="false" outlineLevel="0" collapsed="false">
      <c r="A8" s="6" t="s">
        <v>102</v>
      </c>
      <c r="B8" s="6" t="s">
        <v>407</v>
      </c>
      <c r="C8" s="6" t="s">
        <v>396</v>
      </c>
      <c r="D8" s="6" t="s">
        <v>408</v>
      </c>
    </row>
    <row r="9" customFormat="false" ht="23.85" hidden="false" customHeight="false" outlineLevel="0" collapsed="false">
      <c r="A9" s="6" t="s">
        <v>115</v>
      </c>
      <c r="B9" s="6" t="s">
        <v>409</v>
      </c>
      <c r="C9" s="6" t="s">
        <v>396</v>
      </c>
      <c r="D9" s="6" t="s">
        <v>410</v>
      </c>
    </row>
    <row r="10" customFormat="false" ht="15" hidden="false" customHeight="false" outlineLevel="0" collapsed="false">
      <c r="A10" s="6" t="s">
        <v>122</v>
      </c>
      <c r="B10" s="6" t="s">
        <v>411</v>
      </c>
      <c r="C10" s="6" t="s">
        <v>401</v>
      </c>
      <c r="D10" s="6" t="s">
        <v>412</v>
      </c>
    </row>
    <row r="11" customFormat="false" ht="15" hidden="false" customHeight="false" outlineLevel="0" collapsed="false">
      <c r="A11" s="6" t="s">
        <v>141</v>
      </c>
      <c r="B11" s="6" t="s">
        <v>413</v>
      </c>
      <c r="C11" s="6" t="s">
        <v>401</v>
      </c>
      <c r="D11" s="6" t="s">
        <v>414</v>
      </c>
    </row>
    <row r="12" customFormat="false" ht="15" hidden="false" customHeight="false" outlineLevel="0" collapsed="false">
      <c r="A12" s="6" t="s">
        <v>144</v>
      </c>
      <c r="B12" s="6" t="s">
        <v>415</v>
      </c>
      <c r="C12" s="6" t="s">
        <v>401</v>
      </c>
      <c r="D12" s="6" t="s">
        <v>404</v>
      </c>
    </row>
    <row r="13" customFormat="false" ht="15" hidden="false" customHeight="false" outlineLevel="0" collapsed="false">
      <c r="A13" s="6" t="s">
        <v>170</v>
      </c>
      <c r="B13" s="6" t="s">
        <v>416</v>
      </c>
      <c r="C13" s="6" t="s">
        <v>401</v>
      </c>
      <c r="D13" s="6" t="s">
        <v>417</v>
      </c>
    </row>
    <row r="14" customFormat="false" ht="23.85" hidden="false" customHeight="false" outlineLevel="0" collapsed="false">
      <c r="A14" s="6" t="s">
        <v>174</v>
      </c>
      <c r="B14" s="6" t="s">
        <v>418</v>
      </c>
      <c r="C14" s="6" t="s">
        <v>396</v>
      </c>
      <c r="D14" s="6" t="s">
        <v>419</v>
      </c>
    </row>
    <row r="15" customFormat="false" ht="15" hidden="false" customHeight="false" outlineLevel="0" collapsed="false">
      <c r="A15" s="6" t="s">
        <v>175</v>
      </c>
      <c r="B15" s="6" t="s">
        <v>420</v>
      </c>
      <c r="C15" s="6" t="s">
        <v>401</v>
      </c>
      <c r="D15" s="6" t="s">
        <v>404</v>
      </c>
    </row>
    <row r="16" customFormat="false" ht="15" hidden="false" customHeight="false" outlineLevel="0" collapsed="false">
      <c r="A16" s="6" t="s">
        <v>190</v>
      </c>
      <c r="B16" s="6" t="s">
        <v>421</v>
      </c>
      <c r="C16" s="6" t="s">
        <v>401</v>
      </c>
      <c r="D16" s="6" t="s">
        <v>422</v>
      </c>
    </row>
    <row r="17" customFormat="false" ht="23.85" hidden="false" customHeight="false" outlineLevel="0" collapsed="false">
      <c r="A17" s="6" t="s">
        <v>207</v>
      </c>
      <c r="B17" s="6" t="s">
        <v>423</v>
      </c>
      <c r="C17" s="6" t="s">
        <v>396</v>
      </c>
      <c r="D17" s="6" t="s">
        <v>424</v>
      </c>
    </row>
    <row r="18" customFormat="false" ht="15" hidden="false" customHeight="false" outlineLevel="0" collapsed="false">
      <c r="A18" s="6" t="s">
        <v>243</v>
      </c>
      <c r="B18" s="6" t="s">
        <v>425</v>
      </c>
      <c r="C18" s="6" t="s">
        <v>401</v>
      </c>
      <c r="D18" s="6" t="s">
        <v>404</v>
      </c>
    </row>
    <row r="19" customFormat="false" ht="15" hidden="false" customHeight="false" outlineLevel="0" collapsed="false">
      <c r="A19" s="6" t="s">
        <v>324</v>
      </c>
      <c r="B19" s="6" t="s">
        <v>426</v>
      </c>
      <c r="C19" s="6" t="s">
        <v>396</v>
      </c>
      <c r="D19" s="6" t="s">
        <v>427</v>
      </c>
    </row>
    <row r="20" customFormat="false" ht="23.85" hidden="false" customHeight="false" outlineLevel="0" collapsed="false">
      <c r="A20" s="6" t="s">
        <v>335</v>
      </c>
      <c r="B20" s="6" t="s">
        <v>428</v>
      </c>
      <c r="C20" s="6" t="s">
        <v>401</v>
      </c>
      <c r="D20" s="6" t="s">
        <v>429</v>
      </c>
    </row>
    <row r="22" customFormat="false" ht="15" hidden="false" customHeight="false" outlineLevel="0" collapsed="false">
      <c r="A22" s="13" t="s">
        <v>430</v>
      </c>
    </row>
    <row r="23" customFormat="false" ht="15" hidden="false" customHeight="false" outlineLevel="0" collapsed="false">
      <c r="A23" s="14" t="s">
        <v>431</v>
      </c>
      <c r="B23" s="14" t="s">
        <v>432</v>
      </c>
      <c r="C23" s="14"/>
      <c r="D23" s="14" t="s">
        <v>433</v>
      </c>
    </row>
    <row r="24" customFormat="false" ht="15" hidden="false" customHeight="false" outlineLevel="0" collapsed="false">
      <c r="A24" s="6" t="s">
        <v>434</v>
      </c>
      <c r="B24" s="6" t="s">
        <v>435</v>
      </c>
      <c r="C24" s="6"/>
      <c r="D24" s="6" t="s">
        <v>436</v>
      </c>
    </row>
    <row r="25" customFormat="false" ht="15" hidden="false" customHeight="false" outlineLevel="0" collapsed="false">
      <c r="A25" s="6" t="s">
        <v>437</v>
      </c>
      <c r="B25" s="6" t="s">
        <v>438</v>
      </c>
      <c r="C25" s="6"/>
      <c r="D25" s="6" t="s">
        <v>439</v>
      </c>
    </row>
    <row r="26" customFormat="false" ht="15" hidden="false" customHeight="false" outlineLevel="0" collapsed="false">
      <c r="A26" s="6" t="s">
        <v>440</v>
      </c>
      <c r="B26" s="6" t="s">
        <v>305</v>
      </c>
      <c r="C26" s="6"/>
      <c r="D26" s="6" t="s">
        <v>441</v>
      </c>
    </row>
    <row r="27" customFormat="false" ht="15" hidden="false" customHeight="false" outlineLevel="0" collapsed="false">
      <c r="A27" s="6" t="s">
        <v>442</v>
      </c>
      <c r="B27" s="6" t="s">
        <v>443</v>
      </c>
      <c r="C27" s="6"/>
      <c r="D27" s="6" t="s">
        <v>444</v>
      </c>
    </row>
    <row r="28" customFormat="false" ht="15" hidden="false" customHeight="false" outlineLevel="0" collapsed="false">
      <c r="A28" s="6" t="s">
        <v>277</v>
      </c>
      <c r="B28" s="6" t="s">
        <v>445</v>
      </c>
      <c r="C28" s="6"/>
      <c r="D28" s="6" t="s">
        <v>446</v>
      </c>
    </row>
    <row r="29" customFormat="false" ht="15" hidden="false" customHeight="false" outlineLevel="0" collapsed="false">
      <c r="A29" s="6" t="s">
        <v>67</v>
      </c>
      <c r="B29" s="6" t="s">
        <v>68</v>
      </c>
      <c r="C29" s="6"/>
      <c r="D29" s="6" t="s">
        <v>447</v>
      </c>
    </row>
    <row r="31" customFormat="false" ht="15" hidden="false" customHeight="false" outlineLevel="0" collapsed="false">
      <c r="A31" s="13" t="s">
        <v>448</v>
      </c>
    </row>
    <row r="32" customFormat="false" ht="15" hidden="false" customHeight="false" outlineLevel="0" collapsed="false">
      <c r="A32" s="14" t="s">
        <v>449</v>
      </c>
      <c r="B32" s="14" t="s">
        <v>450</v>
      </c>
      <c r="C32" s="14"/>
      <c r="D32" s="14" t="s">
        <v>451</v>
      </c>
    </row>
    <row r="33" customFormat="false" ht="23.85" hidden="false" customHeight="false" outlineLevel="0" collapsed="false">
      <c r="A33" s="6" t="s">
        <v>452</v>
      </c>
      <c r="B33" s="6" t="s">
        <v>453</v>
      </c>
      <c r="C33" s="6"/>
      <c r="D33" s="6" t="s">
        <v>454</v>
      </c>
    </row>
    <row r="34" customFormat="false" ht="15" hidden="false" customHeight="false" outlineLevel="0" collapsed="false">
      <c r="A34" s="6" t="s">
        <v>80</v>
      </c>
      <c r="B34" s="6" t="s">
        <v>455</v>
      </c>
      <c r="C34" s="6"/>
      <c r="D34" s="6" t="s">
        <v>456</v>
      </c>
    </row>
    <row r="35" customFormat="false" ht="15" hidden="false" customHeight="false" outlineLevel="0" collapsed="false">
      <c r="A35" s="6" t="s">
        <v>457</v>
      </c>
      <c r="B35" s="6" t="s">
        <v>458</v>
      </c>
      <c r="C35" s="6"/>
      <c r="D35" s="6" t="s">
        <v>459</v>
      </c>
    </row>
    <row r="36" customFormat="false" ht="23.85" hidden="false" customHeight="false" outlineLevel="0" collapsed="false">
      <c r="A36" s="6" t="s">
        <v>460</v>
      </c>
      <c r="B36" s="6" t="s">
        <v>461</v>
      </c>
      <c r="C36" s="6"/>
      <c r="D36" s="6" t="s">
        <v>462</v>
      </c>
    </row>
    <row r="37" customFormat="false" ht="23.85" hidden="false" customHeight="false" outlineLevel="0" collapsed="false">
      <c r="A37" s="6" t="s">
        <v>463</v>
      </c>
      <c r="B37" s="6" t="s">
        <v>464</v>
      </c>
      <c r="C37" s="6"/>
      <c r="D37" s="6" t="s">
        <v>465</v>
      </c>
    </row>
    <row r="38" customFormat="false" ht="23.85" hidden="false" customHeight="false" outlineLevel="0" collapsed="false">
      <c r="A38" s="6" t="s">
        <v>466</v>
      </c>
      <c r="B38" s="6" t="s">
        <v>467</v>
      </c>
      <c r="C38" s="6"/>
      <c r="D38" s="6" t="s">
        <v>468</v>
      </c>
    </row>
    <row r="39" customFormat="false" ht="15" hidden="false" customHeight="false" outlineLevel="0" collapsed="false">
      <c r="A39" s="6" t="s">
        <v>327</v>
      </c>
      <c r="B39" s="6" t="s">
        <v>469</v>
      </c>
      <c r="C39" s="6"/>
      <c r="D39" s="6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23.85" hidden="false" customHeight="false" outlineLevel="0" collapsed="false">
      <c r="A1" s="14" t="s">
        <v>0</v>
      </c>
      <c r="B1" s="14" t="s">
        <v>471</v>
      </c>
      <c r="C1" s="14" t="s">
        <v>3</v>
      </c>
      <c r="D1" s="14" t="s">
        <v>472</v>
      </c>
      <c r="E1" s="14" t="s">
        <v>473</v>
      </c>
      <c r="F1" s="14" t="s">
        <v>474</v>
      </c>
    </row>
    <row r="2" customFormat="false" ht="15" hidden="false" customHeight="false" outlineLevel="0" collapsed="false">
      <c r="A2" s="6" t="s">
        <v>475</v>
      </c>
      <c r="B2" s="6" t="s">
        <v>13</v>
      </c>
      <c r="C2" s="6" t="s">
        <v>476</v>
      </c>
      <c r="D2" s="6"/>
      <c r="E2" s="6" t="n">
        <v>0</v>
      </c>
      <c r="F2" s="6"/>
    </row>
    <row r="3" customFormat="false" ht="15" hidden="false" customHeight="false" outlineLevel="0" collapsed="false">
      <c r="A3" s="6" t="s">
        <v>477</v>
      </c>
      <c r="B3" s="6" t="s">
        <v>13</v>
      </c>
      <c r="C3" s="6" t="s">
        <v>478</v>
      </c>
      <c r="D3" s="6" t="s">
        <v>479</v>
      </c>
      <c r="E3" s="6" t="n">
        <v>0</v>
      </c>
      <c r="F3" s="6"/>
    </row>
    <row r="4" customFormat="false" ht="15" hidden="false" customHeight="false" outlineLevel="0" collapsed="false">
      <c r="A4" s="6" t="s">
        <v>480</v>
      </c>
      <c r="B4" s="6" t="s">
        <v>13</v>
      </c>
      <c r="C4" s="6" t="s">
        <v>481</v>
      </c>
      <c r="D4" s="6" t="s">
        <v>482</v>
      </c>
      <c r="E4" s="6" t="n">
        <v>0</v>
      </c>
      <c r="F4" s="6"/>
    </row>
    <row r="5" customFormat="false" ht="15" hidden="false" customHeight="false" outlineLevel="0" collapsed="false">
      <c r="A5" s="6" t="s">
        <v>483</v>
      </c>
      <c r="B5" s="6" t="s">
        <v>13</v>
      </c>
      <c r="C5" s="6" t="s">
        <v>484</v>
      </c>
      <c r="D5" s="6" t="s">
        <v>485</v>
      </c>
      <c r="E5" s="6" t="n">
        <v>0</v>
      </c>
      <c r="F5" s="6"/>
    </row>
    <row r="6" customFormat="false" ht="15" hidden="false" customHeight="false" outlineLevel="0" collapsed="false">
      <c r="A6" s="6" t="s">
        <v>486</v>
      </c>
      <c r="B6" s="6" t="s">
        <v>43</v>
      </c>
      <c r="C6" s="6"/>
      <c r="D6" s="6" t="s">
        <v>487</v>
      </c>
      <c r="E6" s="6" t="n">
        <v>0</v>
      </c>
      <c r="F6" s="6"/>
    </row>
    <row r="7" customFormat="false" ht="15" hidden="false" customHeight="false" outlineLevel="0" collapsed="false">
      <c r="A7" s="6" t="s">
        <v>488</v>
      </c>
      <c r="B7" s="6" t="s">
        <v>13</v>
      </c>
      <c r="C7" s="6" t="s">
        <v>489</v>
      </c>
      <c r="D7" s="6" t="s">
        <v>490</v>
      </c>
      <c r="E7" s="6" t="n">
        <v>0</v>
      </c>
      <c r="F7" s="6"/>
    </row>
    <row r="8" customFormat="false" ht="15" hidden="false" customHeight="false" outlineLevel="0" collapsed="false">
      <c r="A8" s="6" t="s">
        <v>491</v>
      </c>
      <c r="B8" s="6" t="s">
        <v>13</v>
      </c>
      <c r="C8" s="6" t="s">
        <v>492</v>
      </c>
      <c r="D8" s="6" t="s">
        <v>493</v>
      </c>
      <c r="E8" s="6" t="n">
        <v>0</v>
      </c>
      <c r="F8" s="6"/>
    </row>
    <row r="9" customFormat="false" ht="15" hidden="false" customHeight="false" outlineLevel="0" collapsed="false">
      <c r="A9" s="6" t="s">
        <v>494</v>
      </c>
      <c r="B9" s="6" t="s">
        <v>13</v>
      </c>
      <c r="C9" s="6" t="s">
        <v>288</v>
      </c>
      <c r="D9" s="6" t="s">
        <v>495</v>
      </c>
      <c r="E9" s="6" t="n">
        <v>0</v>
      </c>
      <c r="F9" s="6"/>
    </row>
    <row r="10" customFormat="false" ht="15" hidden="false" customHeight="false" outlineLevel="0" collapsed="false">
      <c r="A10" s="6" t="s">
        <v>496</v>
      </c>
      <c r="B10" s="6" t="s">
        <v>13</v>
      </c>
      <c r="C10" s="6" t="s">
        <v>497</v>
      </c>
      <c r="D10" s="6"/>
      <c r="E10" s="6" t="n">
        <v>0</v>
      </c>
      <c r="F10" s="6"/>
    </row>
    <row r="11" customFormat="false" ht="15" hidden="false" customHeight="false" outlineLevel="0" collapsed="false">
      <c r="A11" s="6" t="s">
        <v>498</v>
      </c>
      <c r="B11" s="6" t="s">
        <v>13</v>
      </c>
      <c r="C11" s="6" t="s">
        <v>499</v>
      </c>
      <c r="D11" s="6" t="s">
        <v>500</v>
      </c>
      <c r="E11" s="6" t="n">
        <v>0</v>
      </c>
      <c r="F11" s="6"/>
    </row>
    <row r="12" customFormat="false" ht="15" hidden="false" customHeight="false" outlineLevel="0" collapsed="false">
      <c r="A12" s="6" t="s">
        <v>501</v>
      </c>
      <c r="B12" s="6" t="s">
        <v>13</v>
      </c>
      <c r="C12" s="6" t="s">
        <v>288</v>
      </c>
      <c r="D12" s="6" t="s">
        <v>495</v>
      </c>
      <c r="E12" s="6" t="n">
        <v>0</v>
      </c>
      <c r="F12" s="6"/>
    </row>
    <row r="13" customFormat="false" ht="15" hidden="false" customHeight="false" outlineLevel="0" collapsed="false">
      <c r="A13" s="6" t="s">
        <v>236</v>
      </c>
      <c r="B13" s="6" t="s">
        <v>13</v>
      </c>
      <c r="C13" s="6" t="s">
        <v>502</v>
      </c>
      <c r="D13" s="6" t="s">
        <v>503</v>
      </c>
      <c r="E13" s="6" t="n">
        <v>0</v>
      </c>
      <c r="F13" s="6"/>
    </row>
    <row r="14" customFormat="false" ht="15" hidden="false" customHeight="false" outlineLevel="0" collapsed="false">
      <c r="A14" s="6" t="s">
        <v>504</v>
      </c>
      <c r="B14" s="6" t="s">
        <v>13</v>
      </c>
      <c r="C14" s="6" t="s">
        <v>505</v>
      </c>
      <c r="D14" s="6" t="s">
        <v>506</v>
      </c>
      <c r="E14" s="6" t="n">
        <v>0</v>
      </c>
      <c r="F14" s="6"/>
    </row>
    <row r="15" customFormat="false" ht="15" hidden="false" customHeight="false" outlineLevel="0" collapsed="false">
      <c r="A15" s="6" t="s">
        <v>507</v>
      </c>
      <c r="B15" s="6" t="s">
        <v>13</v>
      </c>
      <c r="C15" s="6" t="s">
        <v>508</v>
      </c>
      <c r="D15" s="6" t="s">
        <v>509</v>
      </c>
      <c r="E15" s="6" t="n">
        <v>0</v>
      </c>
      <c r="F15" s="6"/>
    </row>
    <row r="16" customFormat="false" ht="15" hidden="false" customHeight="false" outlineLevel="0" collapsed="false">
      <c r="A16" s="6" t="s">
        <v>510</v>
      </c>
      <c r="B16" s="6" t="s">
        <v>43</v>
      </c>
      <c r="C16" s="6" t="s">
        <v>511</v>
      </c>
      <c r="D16" s="6" t="s">
        <v>512</v>
      </c>
      <c r="E16" s="6" t="n">
        <v>0</v>
      </c>
      <c r="F16" s="6"/>
    </row>
    <row r="17" customFormat="false" ht="15" hidden="false" customHeight="false" outlineLevel="0" collapsed="false">
      <c r="A17" s="6" t="s">
        <v>513</v>
      </c>
      <c r="B17" s="6" t="s">
        <v>43</v>
      </c>
      <c r="C17" s="6" t="s">
        <v>145</v>
      </c>
      <c r="D17" s="6" t="s">
        <v>146</v>
      </c>
      <c r="E17" s="6" t="n">
        <v>0</v>
      </c>
      <c r="F17" s="6"/>
    </row>
    <row r="18" customFormat="false" ht="15" hidden="false" customHeight="false" outlineLevel="0" collapsed="false">
      <c r="A18" s="6" t="s">
        <v>514</v>
      </c>
      <c r="B18" s="6" t="s">
        <v>43</v>
      </c>
      <c r="C18" s="6" t="s">
        <v>515</v>
      </c>
      <c r="D18" s="6" t="s">
        <v>516</v>
      </c>
      <c r="E18" s="6" t="n">
        <v>0</v>
      </c>
      <c r="F18" s="6"/>
    </row>
    <row r="19" customFormat="false" ht="15" hidden="false" customHeight="false" outlineLevel="0" collapsed="false">
      <c r="A19" s="6" t="s">
        <v>517</v>
      </c>
      <c r="B19" s="6" t="s">
        <v>13</v>
      </c>
      <c r="C19" s="6" t="s">
        <v>518</v>
      </c>
      <c r="D19" s="6" t="s">
        <v>519</v>
      </c>
      <c r="E19" s="6" t="n">
        <v>0</v>
      </c>
      <c r="F19" s="6"/>
    </row>
    <row r="20" customFormat="false" ht="15" hidden="false" customHeight="false" outlineLevel="0" collapsed="false">
      <c r="A20" s="6" t="s">
        <v>520</v>
      </c>
      <c r="B20" s="6" t="s">
        <v>43</v>
      </c>
      <c r="C20" s="6" t="s">
        <v>521</v>
      </c>
      <c r="D20" s="6"/>
      <c r="E20" s="6" t="n">
        <v>0</v>
      </c>
      <c r="F20" s="6"/>
    </row>
    <row r="21" customFormat="false" ht="15" hidden="false" customHeight="false" outlineLevel="0" collapsed="false">
      <c r="A21" s="6" t="s">
        <v>522</v>
      </c>
      <c r="B21" s="6" t="s">
        <v>43</v>
      </c>
      <c r="C21" s="6" t="s">
        <v>523</v>
      </c>
      <c r="D21" s="6" t="s">
        <v>524</v>
      </c>
      <c r="E21" s="6" t="n">
        <v>0</v>
      </c>
      <c r="F21" s="6"/>
    </row>
    <row r="22" customFormat="false" ht="15" hidden="false" customHeight="false" outlineLevel="0" collapsed="false">
      <c r="A22" s="6" t="s">
        <v>525</v>
      </c>
      <c r="B22" s="6" t="s">
        <v>43</v>
      </c>
      <c r="C22" s="6" t="s">
        <v>526</v>
      </c>
      <c r="D22" s="6" t="s">
        <v>527</v>
      </c>
      <c r="E22" s="6" t="n">
        <v>0</v>
      </c>
      <c r="F22" s="6"/>
    </row>
    <row r="23" customFormat="false" ht="15" hidden="false" customHeight="false" outlineLevel="0" collapsed="false">
      <c r="A23" s="6" t="s">
        <v>528</v>
      </c>
      <c r="B23" s="6" t="s">
        <v>13</v>
      </c>
      <c r="C23" s="6" t="s">
        <v>529</v>
      </c>
      <c r="D23" s="6" t="s">
        <v>530</v>
      </c>
      <c r="E23" s="6" t="n">
        <v>0</v>
      </c>
      <c r="F23" s="6"/>
    </row>
    <row r="24" customFormat="false" ht="15" hidden="false" customHeight="false" outlineLevel="0" collapsed="false">
      <c r="A24" s="6" t="s">
        <v>531</v>
      </c>
      <c r="B24" s="6" t="s">
        <v>13</v>
      </c>
      <c r="C24" s="6" t="s">
        <v>532</v>
      </c>
      <c r="D24" s="6" t="s">
        <v>533</v>
      </c>
      <c r="E24" s="6" t="n">
        <v>0</v>
      </c>
      <c r="F24" s="6"/>
    </row>
    <row r="25" customFormat="false" ht="15" hidden="false" customHeight="false" outlineLevel="0" collapsed="false">
      <c r="A25" s="6" t="s">
        <v>534</v>
      </c>
      <c r="B25" s="6" t="s">
        <v>43</v>
      </c>
      <c r="C25" s="6" t="s">
        <v>535</v>
      </c>
      <c r="D25" s="6" t="s">
        <v>536</v>
      </c>
      <c r="E25" s="6" t="n">
        <v>0</v>
      </c>
      <c r="F25" s="6"/>
    </row>
    <row r="26" customFormat="false" ht="15" hidden="false" customHeight="false" outlineLevel="0" collapsed="false">
      <c r="A26" s="6" t="s">
        <v>537</v>
      </c>
      <c r="B26" s="6" t="s">
        <v>43</v>
      </c>
      <c r="C26" s="6" t="s">
        <v>538</v>
      </c>
      <c r="D26" s="6" t="s">
        <v>539</v>
      </c>
      <c r="E26" s="6" t="n">
        <v>0</v>
      </c>
      <c r="F26" s="6"/>
    </row>
    <row r="27" customFormat="false" ht="15" hidden="false" customHeight="false" outlineLevel="0" collapsed="false">
      <c r="A27" s="6" t="s">
        <v>540</v>
      </c>
      <c r="B27" s="6" t="s">
        <v>43</v>
      </c>
      <c r="C27" s="6" t="s">
        <v>541</v>
      </c>
      <c r="D27" s="6" t="s">
        <v>542</v>
      </c>
      <c r="E27" s="6" t="n">
        <v>0</v>
      </c>
      <c r="F27" s="6"/>
    </row>
    <row r="28" customFormat="false" ht="15" hidden="false" customHeight="false" outlineLevel="0" collapsed="false">
      <c r="A28" s="6" t="s">
        <v>543</v>
      </c>
      <c r="B28" s="6" t="s">
        <v>43</v>
      </c>
      <c r="C28" s="6" t="s">
        <v>544</v>
      </c>
      <c r="D28" s="6" t="s">
        <v>545</v>
      </c>
      <c r="E28" s="6" t="n">
        <v>0</v>
      </c>
      <c r="F28" s="6"/>
    </row>
    <row r="29" customFormat="false" ht="15" hidden="false" customHeight="false" outlineLevel="0" collapsed="false">
      <c r="A29" s="6" t="s">
        <v>546</v>
      </c>
      <c r="B29" s="6" t="s">
        <v>43</v>
      </c>
      <c r="C29" s="6" t="s">
        <v>535</v>
      </c>
      <c r="D29" s="6" t="s">
        <v>536</v>
      </c>
      <c r="E29" s="6" t="n">
        <v>0</v>
      </c>
      <c r="F29" s="6"/>
    </row>
    <row r="30" customFormat="false" ht="15" hidden="false" customHeight="false" outlineLevel="0" collapsed="false">
      <c r="A30" s="6" t="s">
        <v>547</v>
      </c>
      <c r="B30" s="6" t="s">
        <v>13</v>
      </c>
      <c r="C30" s="6" t="s">
        <v>548</v>
      </c>
      <c r="D30" s="6" t="s">
        <v>549</v>
      </c>
      <c r="E30" s="6" t="n">
        <v>0</v>
      </c>
      <c r="F30" s="6"/>
    </row>
    <row r="31" customFormat="false" ht="15" hidden="false" customHeight="false" outlineLevel="0" collapsed="false">
      <c r="A31" s="6" t="s">
        <v>550</v>
      </c>
      <c r="B31" s="6" t="s">
        <v>13</v>
      </c>
      <c r="C31" s="6" t="s">
        <v>551</v>
      </c>
      <c r="D31" s="6" t="s">
        <v>552</v>
      </c>
      <c r="E31" s="6" t="n">
        <v>0</v>
      </c>
      <c r="F31" s="6"/>
    </row>
    <row r="32" customFormat="false" ht="15" hidden="false" customHeight="false" outlineLevel="0" collapsed="false">
      <c r="A32" s="6" t="s">
        <v>553</v>
      </c>
      <c r="B32" s="6" t="s">
        <v>43</v>
      </c>
      <c r="C32" s="6" t="s">
        <v>554</v>
      </c>
      <c r="D32" s="6" t="s">
        <v>555</v>
      </c>
      <c r="E32" s="6" t="n">
        <v>0</v>
      </c>
      <c r="F32" s="6"/>
    </row>
    <row r="33" customFormat="false" ht="15" hidden="false" customHeight="false" outlineLevel="0" collapsed="false">
      <c r="A33" s="6" t="s">
        <v>556</v>
      </c>
      <c r="B33" s="6" t="s">
        <v>43</v>
      </c>
      <c r="C33" s="6" t="s">
        <v>557</v>
      </c>
      <c r="D33" s="6" t="s">
        <v>558</v>
      </c>
      <c r="E33" s="6" t="n">
        <v>0</v>
      </c>
      <c r="F33" s="6"/>
    </row>
    <row r="34" customFormat="false" ht="15" hidden="false" customHeight="false" outlineLevel="0" collapsed="false">
      <c r="A34" s="6" t="s">
        <v>559</v>
      </c>
      <c r="B34" s="6" t="s">
        <v>43</v>
      </c>
      <c r="C34" s="6" t="s">
        <v>560</v>
      </c>
      <c r="D34" s="6" t="s">
        <v>561</v>
      </c>
      <c r="E34" s="6" t="n">
        <v>0</v>
      </c>
      <c r="F34" s="6"/>
    </row>
    <row r="35" customFormat="false" ht="15" hidden="false" customHeight="false" outlineLevel="0" collapsed="false">
      <c r="A35" s="6" t="s">
        <v>562</v>
      </c>
      <c r="B35" s="6" t="s">
        <v>43</v>
      </c>
      <c r="C35" s="6" t="s">
        <v>563</v>
      </c>
      <c r="D35" s="6" t="s">
        <v>527</v>
      </c>
      <c r="E35" s="6" t="n">
        <v>0</v>
      </c>
      <c r="F35" s="6"/>
    </row>
    <row r="36" customFormat="false" ht="15" hidden="false" customHeight="false" outlineLevel="0" collapsed="false">
      <c r="A36" s="6" t="s">
        <v>564</v>
      </c>
      <c r="B36" s="6" t="s">
        <v>43</v>
      </c>
      <c r="C36" s="6" t="s">
        <v>535</v>
      </c>
      <c r="D36" s="6" t="s">
        <v>536</v>
      </c>
      <c r="E36" s="6" t="n">
        <v>0</v>
      </c>
      <c r="F36" s="6"/>
    </row>
    <row r="37" customFormat="false" ht="15" hidden="false" customHeight="false" outlineLevel="0" collapsed="false">
      <c r="A37" s="6" t="s">
        <v>565</v>
      </c>
      <c r="B37" s="6" t="s">
        <v>43</v>
      </c>
      <c r="C37" s="6" t="s">
        <v>566</v>
      </c>
      <c r="D37" s="6" t="s">
        <v>567</v>
      </c>
      <c r="E37" s="6" t="n">
        <v>0</v>
      </c>
      <c r="F37" s="6"/>
    </row>
    <row r="38" customFormat="false" ht="15" hidden="false" customHeight="false" outlineLevel="0" collapsed="false">
      <c r="A38" s="6" t="s">
        <v>568</v>
      </c>
      <c r="B38" s="6" t="s">
        <v>43</v>
      </c>
      <c r="C38" s="6" t="s">
        <v>569</v>
      </c>
      <c r="D38" s="6" t="s">
        <v>570</v>
      </c>
      <c r="E38" s="6" t="n">
        <v>0</v>
      </c>
      <c r="F38" s="6"/>
    </row>
    <row r="39" customFormat="false" ht="15" hidden="false" customHeight="false" outlineLevel="0" collapsed="false">
      <c r="A39" s="6" t="s">
        <v>571</v>
      </c>
      <c r="B39" s="6" t="s">
        <v>43</v>
      </c>
      <c r="C39" s="6" t="s">
        <v>526</v>
      </c>
      <c r="D39" s="6" t="s">
        <v>527</v>
      </c>
      <c r="E39" s="6" t="n">
        <v>0</v>
      </c>
      <c r="F39" s="6"/>
    </row>
    <row r="40" customFormat="false" ht="15" hidden="false" customHeight="false" outlineLevel="0" collapsed="false">
      <c r="A40" s="6" t="s">
        <v>572</v>
      </c>
      <c r="B40" s="6" t="s">
        <v>43</v>
      </c>
      <c r="C40" s="6" t="s">
        <v>508</v>
      </c>
      <c r="D40" s="6" t="s">
        <v>509</v>
      </c>
      <c r="E40" s="6" t="n">
        <v>0</v>
      </c>
      <c r="F40" s="6"/>
    </row>
    <row r="41" customFormat="false" ht="15" hidden="false" customHeight="false" outlineLevel="0" collapsed="false">
      <c r="A41" s="6" t="s">
        <v>573</v>
      </c>
      <c r="B41" s="6" t="s">
        <v>43</v>
      </c>
      <c r="C41" s="6" t="s">
        <v>288</v>
      </c>
      <c r="D41" s="6" t="s">
        <v>495</v>
      </c>
      <c r="E41" s="6" t="n">
        <v>0</v>
      </c>
      <c r="F41" s="6"/>
    </row>
    <row r="42" customFormat="false" ht="15" hidden="false" customHeight="false" outlineLevel="0" collapsed="false">
      <c r="A42" s="6" t="s">
        <v>574</v>
      </c>
      <c r="B42" s="6" t="s">
        <v>43</v>
      </c>
      <c r="C42" s="6" t="s">
        <v>288</v>
      </c>
      <c r="D42" s="6" t="s">
        <v>495</v>
      </c>
      <c r="E42" s="6" t="n">
        <v>0</v>
      </c>
      <c r="F42" s="6"/>
    </row>
    <row r="43" customFormat="false" ht="15" hidden="false" customHeight="false" outlineLevel="0" collapsed="false">
      <c r="A43" s="6" t="s">
        <v>575</v>
      </c>
      <c r="B43" s="6" t="s">
        <v>43</v>
      </c>
      <c r="C43" s="6" t="s">
        <v>576</v>
      </c>
      <c r="D43" s="6" t="s">
        <v>577</v>
      </c>
      <c r="E43" s="6" t="n">
        <v>0</v>
      </c>
      <c r="F43" s="6"/>
    </row>
    <row r="44" customFormat="false" ht="15" hidden="false" customHeight="false" outlineLevel="0" collapsed="false">
      <c r="A44" s="6" t="s">
        <v>578</v>
      </c>
      <c r="B44" s="6" t="s">
        <v>13</v>
      </c>
      <c r="C44" s="6" t="s">
        <v>579</v>
      </c>
      <c r="D44" s="6" t="s">
        <v>580</v>
      </c>
      <c r="E44" s="6" t="n">
        <v>0</v>
      </c>
      <c r="F44" s="6"/>
    </row>
    <row r="45" customFormat="false" ht="15" hidden="false" customHeight="false" outlineLevel="0" collapsed="false">
      <c r="A45" s="6" t="s">
        <v>581</v>
      </c>
      <c r="B45" s="6" t="s">
        <v>43</v>
      </c>
      <c r="C45" s="6" t="s">
        <v>582</v>
      </c>
      <c r="D45" s="6" t="s">
        <v>567</v>
      </c>
      <c r="E45" s="6" t="n">
        <v>0</v>
      </c>
      <c r="F45" s="6"/>
    </row>
    <row r="46" customFormat="false" ht="15" hidden="false" customHeight="false" outlineLevel="0" collapsed="false">
      <c r="A46" s="6" t="s">
        <v>583</v>
      </c>
      <c r="B46" s="6" t="s">
        <v>13</v>
      </c>
      <c r="C46" s="6" t="s">
        <v>497</v>
      </c>
      <c r="D46" s="6"/>
      <c r="E46" s="6" t="n">
        <v>0</v>
      </c>
      <c r="F46" s="6"/>
    </row>
    <row r="47" customFormat="false" ht="15" hidden="false" customHeight="false" outlineLevel="0" collapsed="false">
      <c r="A47" s="6" t="s">
        <v>584</v>
      </c>
      <c r="B47" s="6" t="s">
        <v>13</v>
      </c>
      <c r="C47" s="6" t="s">
        <v>585</v>
      </c>
      <c r="D47" s="6" t="s">
        <v>586</v>
      </c>
      <c r="E47" s="6" t="n">
        <v>0</v>
      </c>
      <c r="F47" s="6"/>
    </row>
    <row r="48" customFormat="false" ht="15" hidden="false" customHeight="false" outlineLevel="0" collapsed="false">
      <c r="A48" s="6" t="s">
        <v>587</v>
      </c>
      <c r="B48" s="6" t="s">
        <v>13</v>
      </c>
      <c r="C48" s="6" t="s">
        <v>588</v>
      </c>
      <c r="D48" s="6"/>
      <c r="E48" s="6" t="n">
        <v>0</v>
      </c>
      <c r="F48" s="6"/>
    </row>
    <row r="49" customFormat="false" ht="15" hidden="false" customHeight="false" outlineLevel="0" collapsed="false">
      <c r="A49" s="6" t="s">
        <v>589</v>
      </c>
      <c r="B49" s="6" t="s">
        <v>13</v>
      </c>
      <c r="C49" s="6" t="s">
        <v>590</v>
      </c>
      <c r="D49" s="6" t="s">
        <v>591</v>
      </c>
      <c r="E49" s="6" t="n">
        <v>0</v>
      </c>
      <c r="F49" s="6"/>
    </row>
    <row r="50" customFormat="false" ht="15" hidden="false" customHeight="false" outlineLevel="0" collapsed="false">
      <c r="A50" s="6" t="s">
        <v>592</v>
      </c>
      <c r="B50" s="6" t="s">
        <v>13</v>
      </c>
      <c r="C50" s="6" t="s">
        <v>593</v>
      </c>
      <c r="D50" s="6" t="s">
        <v>594</v>
      </c>
      <c r="E50" s="6" t="n">
        <v>0</v>
      </c>
      <c r="F50" s="6"/>
    </row>
    <row r="51" customFormat="false" ht="15" hidden="false" customHeight="false" outlineLevel="0" collapsed="false">
      <c r="A51" s="6" t="s">
        <v>595</v>
      </c>
      <c r="B51" s="6" t="s">
        <v>43</v>
      </c>
      <c r="C51" s="6" t="s">
        <v>262</v>
      </c>
      <c r="D51" s="6"/>
      <c r="E51" s="6" t="n">
        <v>0</v>
      </c>
      <c r="F51" s="6"/>
    </row>
    <row r="52" customFormat="false" ht="15" hidden="false" customHeight="false" outlineLevel="0" collapsed="false">
      <c r="A52" s="6" t="s">
        <v>596</v>
      </c>
      <c r="B52" s="6" t="s">
        <v>13</v>
      </c>
      <c r="C52" s="6"/>
      <c r="D52" s="6"/>
      <c r="E52" s="6" t="n">
        <v>0</v>
      </c>
      <c r="F52" s="6"/>
    </row>
    <row r="53" customFormat="false" ht="15" hidden="false" customHeight="false" outlineLevel="0" collapsed="false">
      <c r="A53" s="6" t="s">
        <v>597</v>
      </c>
      <c r="B53" s="6" t="s">
        <v>13</v>
      </c>
      <c r="C53" s="6" t="s">
        <v>347</v>
      </c>
      <c r="D53" s="6" t="s">
        <v>367</v>
      </c>
      <c r="E53" s="6" t="n">
        <v>0</v>
      </c>
      <c r="F53" s="6"/>
    </row>
    <row r="54" customFormat="false" ht="15" hidden="false" customHeight="false" outlineLevel="0" collapsed="false">
      <c r="A54" s="6" t="s">
        <v>598</v>
      </c>
      <c r="B54" s="6" t="s">
        <v>13</v>
      </c>
      <c r="C54" s="6" t="s">
        <v>599</v>
      </c>
      <c r="D54" s="6" t="s">
        <v>600</v>
      </c>
      <c r="E54" s="6" t="n">
        <v>0</v>
      </c>
      <c r="F54" s="6"/>
    </row>
    <row r="55" customFormat="false" ht="15" hidden="false" customHeight="false" outlineLevel="0" collapsed="false">
      <c r="A55" s="6" t="s">
        <v>601</v>
      </c>
      <c r="B55" s="6" t="s">
        <v>13</v>
      </c>
      <c r="C55" s="6" t="s">
        <v>602</v>
      </c>
      <c r="D55" s="6" t="s">
        <v>603</v>
      </c>
      <c r="E55" s="6" t="n">
        <v>0</v>
      </c>
      <c r="F55" s="6"/>
    </row>
    <row r="56" customFormat="false" ht="15" hidden="false" customHeight="false" outlineLevel="0" collapsed="false">
      <c r="A56" s="6" t="s">
        <v>604</v>
      </c>
      <c r="B56" s="6" t="s">
        <v>43</v>
      </c>
      <c r="C56" s="6" t="s">
        <v>605</v>
      </c>
      <c r="D56" s="6" t="s">
        <v>606</v>
      </c>
      <c r="E56" s="6" t="n">
        <v>0</v>
      </c>
      <c r="F56" s="6"/>
    </row>
    <row r="57" customFormat="false" ht="15" hidden="false" customHeight="false" outlineLevel="0" collapsed="false">
      <c r="A57" s="6" t="s">
        <v>607</v>
      </c>
      <c r="B57" s="6" t="s">
        <v>43</v>
      </c>
      <c r="C57" s="6" t="s">
        <v>608</v>
      </c>
      <c r="D57" s="6" t="s">
        <v>609</v>
      </c>
      <c r="E57" s="6" t="n">
        <v>0</v>
      </c>
      <c r="F57" s="6"/>
    </row>
    <row r="58" customFormat="false" ht="15" hidden="false" customHeight="false" outlineLevel="0" collapsed="false">
      <c r="A58" s="6" t="s">
        <v>610</v>
      </c>
      <c r="B58" s="6" t="s">
        <v>43</v>
      </c>
      <c r="C58" s="6" t="s">
        <v>611</v>
      </c>
      <c r="D58" s="6" t="s">
        <v>612</v>
      </c>
      <c r="E58" s="6" t="n">
        <v>0</v>
      </c>
      <c r="F58" s="6"/>
    </row>
    <row r="59" customFormat="false" ht="15" hidden="false" customHeight="false" outlineLevel="0" collapsed="false">
      <c r="A59" s="6" t="s">
        <v>613</v>
      </c>
      <c r="B59" s="6" t="s">
        <v>43</v>
      </c>
      <c r="C59" s="6" t="s">
        <v>614</v>
      </c>
      <c r="D59" s="6" t="s">
        <v>615</v>
      </c>
      <c r="E59" s="6" t="n">
        <v>0</v>
      </c>
      <c r="F59" s="6"/>
    </row>
    <row r="60" customFormat="false" ht="15" hidden="false" customHeight="false" outlineLevel="0" collapsed="false">
      <c r="A60" s="6" t="s">
        <v>616</v>
      </c>
      <c r="B60" s="6" t="s">
        <v>43</v>
      </c>
      <c r="C60" s="6" t="s">
        <v>617</v>
      </c>
      <c r="D60" s="6"/>
      <c r="E60" s="6" t="n">
        <v>0</v>
      </c>
      <c r="F60" s="6"/>
    </row>
    <row r="61" customFormat="false" ht="15" hidden="false" customHeight="false" outlineLevel="0" collapsed="false">
      <c r="A61" s="6" t="s">
        <v>618</v>
      </c>
      <c r="B61" s="6" t="s">
        <v>43</v>
      </c>
      <c r="C61" s="6" t="s">
        <v>619</v>
      </c>
      <c r="D61" s="6"/>
      <c r="E61" s="6" t="n">
        <v>0</v>
      </c>
      <c r="F61" s="6"/>
    </row>
    <row r="62" customFormat="false" ht="15" hidden="false" customHeight="false" outlineLevel="0" collapsed="false">
      <c r="A62" s="6" t="s">
        <v>620</v>
      </c>
      <c r="B62" s="6" t="s">
        <v>43</v>
      </c>
      <c r="C62" s="6" t="s">
        <v>492</v>
      </c>
      <c r="D62" s="6" t="s">
        <v>493</v>
      </c>
      <c r="E62" s="6" t="n">
        <v>0</v>
      </c>
      <c r="F62" s="6"/>
    </row>
    <row r="63" customFormat="false" ht="15" hidden="false" customHeight="false" outlineLevel="0" collapsed="false">
      <c r="A63" s="6" t="s">
        <v>621</v>
      </c>
      <c r="B63" s="6" t="s">
        <v>43</v>
      </c>
      <c r="C63" s="6" t="s">
        <v>622</v>
      </c>
      <c r="D63" s="6" t="s">
        <v>623</v>
      </c>
      <c r="E63" s="6" t="n">
        <v>0</v>
      </c>
      <c r="F63" s="6"/>
    </row>
    <row r="64" customFormat="false" ht="15" hidden="false" customHeight="false" outlineLevel="0" collapsed="false">
      <c r="A64" s="6" t="s">
        <v>624</v>
      </c>
      <c r="B64" s="6" t="s">
        <v>43</v>
      </c>
      <c r="C64" s="6" t="s">
        <v>30</v>
      </c>
      <c r="D64" s="6" t="s">
        <v>31</v>
      </c>
      <c r="E64" s="6" t="n">
        <v>0</v>
      </c>
      <c r="F64" s="6"/>
    </row>
    <row r="65" customFormat="false" ht="15" hidden="false" customHeight="false" outlineLevel="0" collapsed="false">
      <c r="A65" s="6" t="s">
        <v>625</v>
      </c>
      <c r="B65" s="6" t="s">
        <v>43</v>
      </c>
      <c r="C65" s="6" t="s">
        <v>288</v>
      </c>
      <c r="D65" s="6" t="s">
        <v>289</v>
      </c>
      <c r="E65" s="6" t="n">
        <v>0</v>
      </c>
      <c r="F65" s="6"/>
    </row>
    <row r="66" customFormat="false" ht="15" hidden="false" customHeight="false" outlineLevel="0" collapsed="false">
      <c r="A66" s="6" t="s">
        <v>626</v>
      </c>
      <c r="B66" s="6" t="s">
        <v>43</v>
      </c>
      <c r="C66" s="6" t="s">
        <v>627</v>
      </c>
      <c r="D66" s="6" t="s">
        <v>628</v>
      </c>
      <c r="E66" s="6" t="n">
        <v>0</v>
      </c>
      <c r="F66" s="6"/>
    </row>
    <row r="67" customFormat="false" ht="15" hidden="false" customHeight="false" outlineLevel="0" collapsed="false">
      <c r="A67" s="6" t="s">
        <v>629</v>
      </c>
      <c r="B67" s="6" t="s">
        <v>43</v>
      </c>
      <c r="C67" s="6" t="s">
        <v>369</v>
      </c>
      <c r="D67" s="6" t="s">
        <v>370</v>
      </c>
      <c r="E67" s="6" t="n">
        <v>0</v>
      </c>
      <c r="F67" s="6"/>
    </row>
    <row r="68" customFormat="false" ht="15" hidden="false" customHeight="false" outlineLevel="0" collapsed="false">
      <c r="A68" s="6" t="s">
        <v>630</v>
      </c>
      <c r="B68" s="6" t="s">
        <v>43</v>
      </c>
      <c r="C68" s="6" t="s">
        <v>631</v>
      </c>
      <c r="D68" s="6" t="s">
        <v>632</v>
      </c>
      <c r="E68" s="6" t="n">
        <v>0</v>
      </c>
      <c r="F68" s="6"/>
    </row>
    <row r="69" customFormat="false" ht="15" hidden="false" customHeight="false" outlineLevel="0" collapsed="false">
      <c r="A69" s="6" t="s">
        <v>633</v>
      </c>
      <c r="B69" s="6" t="s">
        <v>43</v>
      </c>
      <c r="C69" s="6" t="s">
        <v>634</v>
      </c>
      <c r="D69" s="6" t="s">
        <v>635</v>
      </c>
      <c r="E69" s="6" t="n">
        <v>0</v>
      </c>
      <c r="F69" s="6"/>
    </row>
    <row r="70" customFormat="false" ht="15" hidden="false" customHeight="false" outlineLevel="0" collapsed="false">
      <c r="A70" s="6" t="s">
        <v>636</v>
      </c>
      <c r="B70" s="6" t="s">
        <v>13</v>
      </c>
      <c r="C70" s="6" t="s">
        <v>130</v>
      </c>
      <c r="D70" s="6" t="s">
        <v>637</v>
      </c>
      <c r="E70" s="6" t="n">
        <v>0</v>
      </c>
      <c r="F70" s="6"/>
    </row>
    <row r="71" customFormat="false" ht="15" hidden="false" customHeight="false" outlineLevel="0" collapsed="false">
      <c r="A71" s="6" t="s">
        <v>638</v>
      </c>
      <c r="B71" s="6" t="s">
        <v>13</v>
      </c>
      <c r="C71" s="6" t="s">
        <v>639</v>
      </c>
      <c r="D71" s="6" t="s">
        <v>640</v>
      </c>
      <c r="E71" s="6" t="n">
        <v>0</v>
      </c>
      <c r="F71" s="6"/>
    </row>
    <row r="72" customFormat="false" ht="15" hidden="false" customHeight="false" outlineLevel="0" collapsed="false">
      <c r="A72" s="6" t="s">
        <v>641</v>
      </c>
      <c r="B72" s="6" t="s">
        <v>13</v>
      </c>
      <c r="C72" s="6" t="s">
        <v>642</v>
      </c>
      <c r="D72" s="6" t="s">
        <v>643</v>
      </c>
      <c r="E72" s="6" t="n">
        <v>0</v>
      </c>
      <c r="F72" s="6"/>
    </row>
    <row r="73" customFormat="false" ht="15" hidden="false" customHeight="false" outlineLevel="0" collapsed="false">
      <c r="A73" s="6" t="s">
        <v>644</v>
      </c>
      <c r="B73" s="6" t="s">
        <v>13</v>
      </c>
      <c r="C73" s="6" t="s">
        <v>645</v>
      </c>
      <c r="D73" s="6" t="s">
        <v>646</v>
      </c>
      <c r="E73" s="6" t="n">
        <v>0</v>
      </c>
      <c r="F73" s="6"/>
    </row>
    <row r="74" customFormat="false" ht="15" hidden="false" customHeight="false" outlineLevel="0" collapsed="false">
      <c r="A74" s="6" t="s">
        <v>647</v>
      </c>
      <c r="B74" s="6" t="s">
        <v>13</v>
      </c>
      <c r="C74" s="6" t="s">
        <v>648</v>
      </c>
      <c r="D74" s="6" t="s">
        <v>649</v>
      </c>
      <c r="E74" s="6" t="n">
        <v>0</v>
      </c>
      <c r="F74" s="6"/>
    </row>
    <row r="75" customFormat="false" ht="15" hidden="false" customHeight="false" outlineLevel="0" collapsed="false">
      <c r="A75" s="6" t="s">
        <v>650</v>
      </c>
      <c r="B75" s="6" t="s">
        <v>13</v>
      </c>
      <c r="C75" s="6" t="s">
        <v>651</v>
      </c>
      <c r="D75" s="6" t="s">
        <v>652</v>
      </c>
      <c r="E75" s="6" t="n">
        <v>0</v>
      </c>
      <c r="F75" s="6"/>
    </row>
    <row r="76" customFormat="false" ht="15" hidden="false" customHeight="false" outlineLevel="0" collapsed="false">
      <c r="A76" s="6" t="s">
        <v>653</v>
      </c>
      <c r="B76" s="6" t="s">
        <v>13</v>
      </c>
      <c r="C76" s="6" t="s">
        <v>654</v>
      </c>
      <c r="D76" s="6" t="s">
        <v>655</v>
      </c>
      <c r="E76" s="6" t="n">
        <v>0</v>
      </c>
      <c r="F76" s="6"/>
    </row>
    <row r="77" customFormat="false" ht="15" hidden="false" customHeight="false" outlineLevel="0" collapsed="false">
      <c r="A77" s="6" t="s">
        <v>656</v>
      </c>
      <c r="B77" s="6" t="s">
        <v>13</v>
      </c>
      <c r="C77" s="6" t="s">
        <v>588</v>
      </c>
      <c r="D77" s="6"/>
      <c r="E77" s="6" t="n">
        <v>0</v>
      </c>
      <c r="F77" s="6"/>
    </row>
    <row r="78" customFormat="false" ht="15" hidden="false" customHeight="false" outlineLevel="0" collapsed="false">
      <c r="A78" s="6" t="s">
        <v>657</v>
      </c>
      <c r="B78" s="6" t="s">
        <v>13</v>
      </c>
      <c r="C78" s="6" t="s">
        <v>288</v>
      </c>
      <c r="D78" s="6" t="s">
        <v>289</v>
      </c>
      <c r="E78" s="6" t="n">
        <v>0</v>
      </c>
      <c r="F78" s="6"/>
    </row>
    <row r="79" customFormat="false" ht="15" hidden="false" customHeight="false" outlineLevel="0" collapsed="false">
      <c r="A79" s="6" t="s">
        <v>658</v>
      </c>
      <c r="B79" s="6" t="s">
        <v>13</v>
      </c>
      <c r="C79" s="6" t="s">
        <v>195</v>
      </c>
      <c r="D79" s="6" t="s">
        <v>196</v>
      </c>
      <c r="E79" s="6" t="n">
        <v>0</v>
      </c>
      <c r="F79" s="6"/>
    </row>
    <row r="80" customFormat="false" ht="15" hidden="false" customHeight="false" outlineLevel="0" collapsed="false">
      <c r="A80" s="6" t="s">
        <v>659</v>
      </c>
      <c r="B80" s="6" t="s">
        <v>13</v>
      </c>
      <c r="C80" s="6" t="s">
        <v>660</v>
      </c>
      <c r="D80" s="6" t="s">
        <v>661</v>
      </c>
      <c r="E80" s="6" t="n">
        <v>0</v>
      </c>
      <c r="F80" s="6"/>
    </row>
    <row r="81" customFormat="false" ht="15" hidden="false" customHeight="false" outlineLevel="0" collapsed="false">
      <c r="A81" s="6" t="s">
        <v>662</v>
      </c>
      <c r="B81" s="6" t="s">
        <v>43</v>
      </c>
      <c r="C81" s="6" t="s">
        <v>663</v>
      </c>
      <c r="D81" s="6" t="s">
        <v>664</v>
      </c>
      <c r="E81" s="6" t="n">
        <v>0</v>
      </c>
      <c r="F81" s="6"/>
    </row>
    <row r="82" customFormat="false" ht="15" hidden="false" customHeight="false" outlineLevel="0" collapsed="false">
      <c r="A82" s="6" t="s">
        <v>665</v>
      </c>
      <c r="B82" s="6" t="s">
        <v>43</v>
      </c>
      <c r="C82" s="6" t="s">
        <v>666</v>
      </c>
      <c r="D82" s="6" t="s">
        <v>667</v>
      </c>
      <c r="E82" s="6" t="n">
        <v>0</v>
      </c>
      <c r="F82" s="6"/>
    </row>
    <row r="83" customFormat="false" ht="15" hidden="false" customHeight="false" outlineLevel="0" collapsed="false">
      <c r="A83" s="6" t="s">
        <v>668</v>
      </c>
      <c r="B83" s="6" t="s">
        <v>43</v>
      </c>
      <c r="C83" s="6" t="s">
        <v>669</v>
      </c>
      <c r="D83" s="6" t="s">
        <v>670</v>
      </c>
      <c r="E83" s="6" t="n">
        <v>0</v>
      </c>
      <c r="F83" s="6"/>
    </row>
    <row r="84" customFormat="false" ht="15" hidden="false" customHeight="false" outlineLevel="0" collapsed="false">
      <c r="A84" s="6" t="s">
        <v>671</v>
      </c>
      <c r="B84" s="6" t="s">
        <v>43</v>
      </c>
      <c r="C84" s="6" t="s">
        <v>660</v>
      </c>
      <c r="D84" s="6" t="s">
        <v>672</v>
      </c>
      <c r="E84" s="6" t="n">
        <v>0</v>
      </c>
      <c r="F84" s="6"/>
    </row>
    <row r="85" customFormat="false" ht="15" hidden="false" customHeight="false" outlineLevel="0" collapsed="false">
      <c r="A85" s="6" t="s">
        <v>673</v>
      </c>
      <c r="B85" s="6" t="s">
        <v>43</v>
      </c>
      <c r="C85" s="6" t="s">
        <v>674</v>
      </c>
      <c r="D85" s="6" t="s">
        <v>675</v>
      </c>
      <c r="E85" s="6" t="n">
        <v>0</v>
      </c>
      <c r="F85" s="6"/>
    </row>
    <row r="86" customFormat="false" ht="15" hidden="false" customHeight="false" outlineLevel="0" collapsed="false">
      <c r="A86" s="6" t="s">
        <v>676</v>
      </c>
      <c r="B86" s="6" t="s">
        <v>43</v>
      </c>
      <c r="C86" s="6" t="s">
        <v>677</v>
      </c>
      <c r="D86" s="6" t="s">
        <v>678</v>
      </c>
      <c r="E86" s="6" t="n">
        <v>0</v>
      </c>
      <c r="F86" s="6"/>
    </row>
    <row r="87" customFormat="false" ht="15" hidden="false" customHeight="false" outlineLevel="0" collapsed="false">
      <c r="A87" s="6" t="s">
        <v>679</v>
      </c>
      <c r="B87" s="6" t="s">
        <v>43</v>
      </c>
      <c r="C87" s="6" t="s">
        <v>680</v>
      </c>
      <c r="D87" s="6" t="s">
        <v>681</v>
      </c>
      <c r="E87" s="6" t="n">
        <v>0</v>
      </c>
      <c r="F87" s="6"/>
    </row>
    <row r="88" customFormat="false" ht="15" hidden="false" customHeight="false" outlineLevel="0" collapsed="false">
      <c r="A88" s="6" t="s">
        <v>682</v>
      </c>
      <c r="B88" s="6" t="s">
        <v>13</v>
      </c>
      <c r="C88" s="6" t="s">
        <v>683</v>
      </c>
      <c r="D88" s="6" t="s">
        <v>684</v>
      </c>
      <c r="E88" s="6" t="n">
        <v>0</v>
      </c>
      <c r="F88" s="6"/>
    </row>
    <row r="89" customFormat="false" ht="15" hidden="false" customHeight="false" outlineLevel="0" collapsed="false">
      <c r="A89" s="6" t="s">
        <v>685</v>
      </c>
      <c r="B89" s="6" t="s">
        <v>13</v>
      </c>
      <c r="C89" s="6" t="s">
        <v>686</v>
      </c>
      <c r="D89" s="6" t="s">
        <v>687</v>
      </c>
      <c r="E89" s="6" t="n">
        <v>0</v>
      </c>
      <c r="F89" s="6"/>
    </row>
    <row r="90" customFormat="false" ht="15" hidden="false" customHeight="false" outlineLevel="0" collapsed="false">
      <c r="A90" s="6" t="s">
        <v>688</v>
      </c>
      <c r="B90" s="6" t="s">
        <v>13</v>
      </c>
      <c r="C90" s="6" t="s">
        <v>133</v>
      </c>
      <c r="D90" s="6"/>
      <c r="E90" s="6" t="n">
        <v>0</v>
      </c>
      <c r="F90" s="6"/>
    </row>
    <row r="91" customFormat="false" ht="15" hidden="false" customHeight="false" outlineLevel="0" collapsed="false">
      <c r="A91" s="6" t="s">
        <v>689</v>
      </c>
      <c r="B91" s="6" t="s">
        <v>13</v>
      </c>
      <c r="C91" s="6" t="s">
        <v>690</v>
      </c>
      <c r="D91" s="6" t="s">
        <v>691</v>
      </c>
      <c r="E91" s="6" t="n">
        <v>0</v>
      </c>
      <c r="F91" s="6"/>
    </row>
    <row r="92" customFormat="false" ht="15" hidden="false" customHeight="false" outlineLevel="0" collapsed="false">
      <c r="A92" s="6" t="s">
        <v>692</v>
      </c>
      <c r="B92" s="6" t="s">
        <v>43</v>
      </c>
      <c r="C92" s="6" t="s">
        <v>686</v>
      </c>
      <c r="D92" s="6" t="s">
        <v>687</v>
      </c>
      <c r="E92" s="6" t="n">
        <v>0</v>
      </c>
      <c r="F92" s="6"/>
    </row>
    <row r="93" customFormat="false" ht="15" hidden="false" customHeight="false" outlineLevel="0" collapsed="false">
      <c r="A93" s="6" t="s">
        <v>693</v>
      </c>
      <c r="B93" s="6" t="s">
        <v>13</v>
      </c>
      <c r="C93" s="6" t="s">
        <v>686</v>
      </c>
      <c r="D93" s="6" t="s">
        <v>687</v>
      </c>
      <c r="E93" s="6" t="n">
        <v>0</v>
      </c>
      <c r="F93" s="6"/>
    </row>
    <row r="94" customFormat="false" ht="15" hidden="false" customHeight="false" outlineLevel="0" collapsed="false">
      <c r="A94" s="6" t="s">
        <v>694</v>
      </c>
      <c r="B94" s="6" t="s">
        <v>43</v>
      </c>
      <c r="C94" s="6" t="s">
        <v>695</v>
      </c>
      <c r="D94" s="6" t="s">
        <v>696</v>
      </c>
      <c r="E94" s="6" t="n">
        <v>0</v>
      </c>
      <c r="F94" s="6"/>
    </row>
    <row r="95" customFormat="false" ht="15" hidden="false" customHeight="false" outlineLevel="0" collapsed="false">
      <c r="A95" s="6" t="s">
        <v>697</v>
      </c>
      <c r="B95" s="6" t="s">
        <v>43</v>
      </c>
      <c r="C95" s="6" t="s">
        <v>698</v>
      </c>
      <c r="D95" s="6" t="s">
        <v>699</v>
      </c>
      <c r="E95" s="6" t="n">
        <v>0</v>
      </c>
      <c r="F95" s="6"/>
    </row>
    <row r="96" customFormat="false" ht="15" hidden="false" customHeight="false" outlineLevel="0" collapsed="false">
      <c r="A96" s="6" t="s">
        <v>700</v>
      </c>
      <c r="B96" s="6" t="s">
        <v>13</v>
      </c>
      <c r="C96" s="6" t="s">
        <v>576</v>
      </c>
      <c r="D96" s="6" t="s">
        <v>577</v>
      </c>
      <c r="E96" s="6" t="n">
        <v>0</v>
      </c>
      <c r="F96" s="6"/>
    </row>
    <row r="97" customFormat="false" ht="15" hidden="false" customHeight="false" outlineLevel="0" collapsed="false">
      <c r="A97" s="6" t="s">
        <v>701</v>
      </c>
      <c r="B97" s="6" t="s">
        <v>43</v>
      </c>
      <c r="C97" s="6" t="s">
        <v>702</v>
      </c>
      <c r="D97" s="6" t="s">
        <v>703</v>
      </c>
      <c r="E97" s="6" t="n">
        <v>0</v>
      </c>
      <c r="F97" s="6"/>
    </row>
    <row r="98" customFormat="false" ht="15" hidden="false" customHeight="false" outlineLevel="0" collapsed="false">
      <c r="A98" s="6" t="s">
        <v>704</v>
      </c>
      <c r="B98" s="6" t="s">
        <v>43</v>
      </c>
      <c r="C98" s="6" t="s">
        <v>705</v>
      </c>
      <c r="D98" s="6" t="s">
        <v>706</v>
      </c>
      <c r="E98" s="6" t="n">
        <v>0</v>
      </c>
      <c r="F98" s="6"/>
    </row>
    <row r="99" customFormat="false" ht="15" hidden="false" customHeight="false" outlineLevel="0" collapsed="false">
      <c r="A99" s="6" t="s">
        <v>707</v>
      </c>
      <c r="B99" s="6" t="s">
        <v>43</v>
      </c>
      <c r="C99" s="6" t="s">
        <v>708</v>
      </c>
      <c r="D99" s="6" t="s">
        <v>709</v>
      </c>
      <c r="E99" s="6" t="n">
        <v>0</v>
      </c>
      <c r="F99" s="6"/>
    </row>
    <row r="100" customFormat="false" ht="15" hidden="false" customHeight="false" outlineLevel="0" collapsed="false">
      <c r="A100" s="6" t="s">
        <v>710</v>
      </c>
      <c r="B100" s="6" t="s">
        <v>43</v>
      </c>
      <c r="C100" s="6" t="s">
        <v>711</v>
      </c>
      <c r="D100" s="6" t="s">
        <v>712</v>
      </c>
      <c r="E100" s="6" t="n">
        <v>0</v>
      </c>
      <c r="F100" s="6"/>
    </row>
    <row r="101" customFormat="false" ht="15" hidden="false" customHeight="false" outlineLevel="0" collapsed="false">
      <c r="A101" s="6" t="s">
        <v>713</v>
      </c>
      <c r="B101" s="6" t="s">
        <v>43</v>
      </c>
      <c r="C101" s="6" t="s">
        <v>714</v>
      </c>
      <c r="D101" s="6" t="s">
        <v>715</v>
      </c>
      <c r="E101" s="6" t="n">
        <v>0</v>
      </c>
      <c r="F101" s="6"/>
    </row>
    <row r="102" customFormat="false" ht="15" hidden="false" customHeight="false" outlineLevel="0" collapsed="false">
      <c r="A102" s="6" t="s">
        <v>716</v>
      </c>
      <c r="B102" s="6" t="s">
        <v>13</v>
      </c>
      <c r="C102" s="6" t="s">
        <v>666</v>
      </c>
      <c r="D102" s="6" t="s">
        <v>667</v>
      </c>
      <c r="E102" s="6" t="n">
        <v>0</v>
      </c>
      <c r="F102" s="6"/>
    </row>
    <row r="103" customFormat="false" ht="15" hidden="false" customHeight="false" outlineLevel="0" collapsed="false">
      <c r="A103" s="6" t="s">
        <v>717</v>
      </c>
      <c r="B103" s="6" t="s">
        <v>13</v>
      </c>
      <c r="C103" s="6" t="s">
        <v>718</v>
      </c>
      <c r="D103" s="6" t="s">
        <v>719</v>
      </c>
      <c r="E103" s="6" t="n">
        <v>0</v>
      </c>
      <c r="F103" s="6"/>
    </row>
    <row r="104" customFormat="false" ht="15" hidden="false" customHeight="false" outlineLevel="0" collapsed="false">
      <c r="A104" s="6" t="s">
        <v>720</v>
      </c>
      <c r="B104" s="6" t="s">
        <v>13</v>
      </c>
      <c r="C104" s="6" t="s">
        <v>721</v>
      </c>
      <c r="D104" s="6" t="s">
        <v>722</v>
      </c>
      <c r="E104" s="6" t="n">
        <v>0</v>
      </c>
      <c r="F104" s="6"/>
    </row>
    <row r="105" customFormat="false" ht="15" hidden="false" customHeight="false" outlineLevel="0" collapsed="false">
      <c r="A105" s="6" t="s">
        <v>466</v>
      </c>
      <c r="B105" s="6" t="s">
        <v>13</v>
      </c>
      <c r="C105" s="6" t="s">
        <v>723</v>
      </c>
      <c r="D105" s="6" t="s">
        <v>724</v>
      </c>
      <c r="E105" s="6" t="n">
        <v>0</v>
      </c>
      <c r="F105" s="6" t="s">
        <v>725</v>
      </c>
    </row>
    <row r="106" customFormat="false" ht="15" hidden="false" customHeight="false" outlineLevel="0" collapsed="false">
      <c r="A106" s="6" t="s">
        <v>726</v>
      </c>
      <c r="B106" s="6" t="s">
        <v>13</v>
      </c>
      <c r="C106" s="6" t="s">
        <v>727</v>
      </c>
      <c r="D106" s="6" t="s">
        <v>728</v>
      </c>
      <c r="E106" s="6" t="n">
        <v>0</v>
      </c>
      <c r="F106" s="6"/>
    </row>
    <row r="107" customFormat="false" ht="15" hidden="false" customHeight="false" outlineLevel="0" collapsed="false">
      <c r="A107" s="6" t="s">
        <v>729</v>
      </c>
      <c r="B107" s="6" t="s">
        <v>43</v>
      </c>
      <c r="C107" s="6" t="s">
        <v>551</v>
      </c>
      <c r="D107" s="6" t="s">
        <v>552</v>
      </c>
      <c r="E107" s="6" t="n">
        <v>0</v>
      </c>
      <c r="F107" s="6"/>
    </row>
    <row r="108" customFormat="false" ht="15" hidden="false" customHeight="false" outlineLevel="0" collapsed="false">
      <c r="A108" s="6" t="s">
        <v>730</v>
      </c>
      <c r="B108" s="6" t="s">
        <v>43</v>
      </c>
      <c r="C108" s="6" t="s">
        <v>731</v>
      </c>
      <c r="D108" s="6" t="s">
        <v>732</v>
      </c>
      <c r="E108" s="6" t="n">
        <v>0</v>
      </c>
      <c r="F108" s="6"/>
    </row>
    <row r="109" customFormat="false" ht="15" hidden="false" customHeight="false" outlineLevel="0" collapsed="false">
      <c r="A109" s="6" t="s">
        <v>733</v>
      </c>
      <c r="B109" s="6" t="s">
        <v>13</v>
      </c>
      <c r="C109" s="6" t="s">
        <v>734</v>
      </c>
      <c r="D109" s="6"/>
      <c r="E109" s="6" t="n">
        <v>0</v>
      </c>
      <c r="F109" s="6"/>
    </row>
    <row r="110" customFormat="false" ht="15" hidden="false" customHeight="false" outlineLevel="0" collapsed="false">
      <c r="A110" s="6" t="s">
        <v>735</v>
      </c>
      <c r="B110" s="6" t="s">
        <v>13</v>
      </c>
      <c r="C110" s="6" t="s">
        <v>736</v>
      </c>
      <c r="D110" s="6" t="s">
        <v>737</v>
      </c>
      <c r="E110" s="6" t="n">
        <v>0</v>
      </c>
      <c r="F110" s="6"/>
    </row>
    <row r="111" customFormat="false" ht="15" hidden="false" customHeight="false" outlineLevel="0" collapsed="false">
      <c r="A111" s="6" t="s">
        <v>738</v>
      </c>
      <c r="B111" s="6" t="s">
        <v>13</v>
      </c>
      <c r="C111" s="6" t="s">
        <v>739</v>
      </c>
      <c r="D111" s="6" t="s">
        <v>740</v>
      </c>
      <c r="E111" s="6" t="n">
        <v>0</v>
      </c>
      <c r="F111" s="6"/>
    </row>
    <row r="112" customFormat="false" ht="15" hidden="false" customHeight="false" outlineLevel="0" collapsed="false">
      <c r="A112" s="6" t="s">
        <v>741</v>
      </c>
      <c r="B112" s="6" t="s">
        <v>13</v>
      </c>
      <c r="C112" s="6" t="s">
        <v>742</v>
      </c>
      <c r="D112" s="6" t="s">
        <v>743</v>
      </c>
      <c r="E112" s="6" t="n">
        <v>0</v>
      </c>
      <c r="F112" s="6"/>
    </row>
    <row r="113" customFormat="false" ht="15" hidden="false" customHeight="false" outlineLevel="0" collapsed="false">
      <c r="A113" s="6" t="s">
        <v>744</v>
      </c>
      <c r="B113" s="6" t="s">
        <v>13</v>
      </c>
      <c r="C113" s="6" t="s">
        <v>745</v>
      </c>
      <c r="D113" s="6" t="s">
        <v>746</v>
      </c>
      <c r="E113" s="6" t="n">
        <v>0</v>
      </c>
      <c r="F113" s="6"/>
    </row>
    <row r="114" customFormat="false" ht="15" hidden="false" customHeight="false" outlineLevel="0" collapsed="false">
      <c r="A114" s="6" t="s">
        <v>747</v>
      </c>
      <c r="B114" s="6" t="s">
        <v>13</v>
      </c>
      <c r="C114" s="6" t="s">
        <v>748</v>
      </c>
      <c r="D114" s="6" t="s">
        <v>749</v>
      </c>
      <c r="E114" s="6" t="n">
        <v>0</v>
      </c>
      <c r="F114" s="6"/>
    </row>
    <row r="115" customFormat="false" ht="15" hidden="false" customHeight="false" outlineLevel="0" collapsed="false">
      <c r="A115" s="6" t="s">
        <v>750</v>
      </c>
      <c r="B115" s="6" t="s">
        <v>13</v>
      </c>
      <c r="C115" s="6" t="s">
        <v>751</v>
      </c>
      <c r="D115" s="6" t="s">
        <v>752</v>
      </c>
      <c r="E115" s="6" t="n">
        <v>0</v>
      </c>
      <c r="F115" s="6"/>
    </row>
    <row r="116" customFormat="false" ht="15" hidden="false" customHeight="false" outlineLevel="0" collapsed="false">
      <c r="A116" s="6" t="s">
        <v>753</v>
      </c>
      <c r="B116" s="6" t="s">
        <v>13</v>
      </c>
      <c r="C116" s="6" t="s">
        <v>557</v>
      </c>
      <c r="D116" s="6" t="s">
        <v>558</v>
      </c>
      <c r="E116" s="6" t="n">
        <v>0</v>
      </c>
      <c r="F116" s="6"/>
    </row>
    <row r="117" customFormat="false" ht="15" hidden="false" customHeight="false" outlineLevel="0" collapsed="false">
      <c r="A117" s="6" t="s">
        <v>754</v>
      </c>
      <c r="B117" s="6" t="s">
        <v>13</v>
      </c>
      <c r="C117" s="6" t="s">
        <v>755</v>
      </c>
      <c r="D117" s="6" t="s">
        <v>756</v>
      </c>
      <c r="E117" s="6" t="n">
        <v>0</v>
      </c>
      <c r="F117" s="6"/>
    </row>
    <row r="118" customFormat="false" ht="15" hidden="false" customHeight="false" outlineLevel="0" collapsed="false">
      <c r="A118" s="6" t="s">
        <v>757</v>
      </c>
      <c r="B118" s="6" t="s">
        <v>13</v>
      </c>
      <c r="C118" s="6" t="s">
        <v>758</v>
      </c>
      <c r="D118" s="6"/>
      <c r="E118" s="6" t="n">
        <v>0</v>
      </c>
      <c r="F118" s="6"/>
    </row>
    <row r="119" customFormat="false" ht="15" hidden="false" customHeight="false" outlineLevel="0" collapsed="false">
      <c r="A119" s="6" t="s">
        <v>759</v>
      </c>
      <c r="B119" s="6" t="s">
        <v>13</v>
      </c>
      <c r="C119" s="6" t="s">
        <v>760</v>
      </c>
      <c r="D119" s="6" t="s">
        <v>567</v>
      </c>
      <c r="E119" s="6" t="n">
        <v>0</v>
      </c>
      <c r="F119" s="6"/>
    </row>
    <row r="120" customFormat="false" ht="15" hidden="false" customHeight="false" outlineLevel="0" collapsed="false">
      <c r="A120" s="6" t="s">
        <v>761</v>
      </c>
      <c r="B120" s="6" t="s">
        <v>13</v>
      </c>
      <c r="C120" s="6" t="s">
        <v>762</v>
      </c>
      <c r="D120" s="6" t="s">
        <v>263</v>
      </c>
      <c r="E120" s="6" t="n">
        <v>0</v>
      </c>
      <c r="F120" s="6"/>
    </row>
    <row r="121" customFormat="false" ht="15" hidden="false" customHeight="false" outlineLevel="0" collapsed="false">
      <c r="A121" s="6" t="s">
        <v>763</v>
      </c>
      <c r="B121" s="6" t="s">
        <v>13</v>
      </c>
      <c r="C121" s="6" t="s">
        <v>764</v>
      </c>
      <c r="D121" s="6" t="s">
        <v>765</v>
      </c>
      <c r="E121" s="6" t="n">
        <v>0</v>
      </c>
      <c r="F121" s="6"/>
    </row>
    <row r="122" customFormat="false" ht="15" hidden="false" customHeight="false" outlineLevel="0" collapsed="false">
      <c r="A122" s="6" t="s">
        <v>766</v>
      </c>
      <c r="B122" s="6" t="s">
        <v>43</v>
      </c>
      <c r="C122" s="6" t="s">
        <v>767</v>
      </c>
      <c r="D122" s="6" t="s">
        <v>768</v>
      </c>
      <c r="E122" s="6" t="n">
        <v>0</v>
      </c>
      <c r="F122" s="6"/>
    </row>
    <row r="123" customFormat="false" ht="15" hidden="false" customHeight="false" outlineLevel="0" collapsed="false">
      <c r="A123" s="6" t="s">
        <v>769</v>
      </c>
      <c r="B123" s="6" t="s">
        <v>43</v>
      </c>
      <c r="C123" s="6" t="s">
        <v>770</v>
      </c>
      <c r="D123" s="6" t="s">
        <v>706</v>
      </c>
      <c r="E123" s="6" t="n">
        <v>0</v>
      </c>
      <c r="F123" s="6"/>
    </row>
    <row r="124" customFormat="false" ht="15" hidden="false" customHeight="false" outlineLevel="0" collapsed="false">
      <c r="A124" s="6" t="s">
        <v>771</v>
      </c>
      <c r="B124" s="6" t="s">
        <v>43</v>
      </c>
      <c r="C124" s="6" t="s">
        <v>340</v>
      </c>
      <c r="D124" s="6" t="s">
        <v>772</v>
      </c>
      <c r="E124" s="6" t="n">
        <v>0</v>
      </c>
      <c r="F124" s="6"/>
    </row>
    <row r="125" customFormat="false" ht="15" hidden="false" customHeight="false" outlineLevel="0" collapsed="false">
      <c r="A125" s="6" t="s">
        <v>773</v>
      </c>
      <c r="B125" s="6" t="s">
        <v>13</v>
      </c>
      <c r="C125" s="6" t="s">
        <v>774</v>
      </c>
      <c r="D125" s="6" t="s">
        <v>775</v>
      </c>
      <c r="E125" s="6" t="n">
        <v>0</v>
      </c>
      <c r="F125" s="6"/>
    </row>
    <row r="126" customFormat="false" ht="15" hidden="false" customHeight="false" outlineLevel="0" collapsed="false">
      <c r="A126" s="6" t="s">
        <v>776</v>
      </c>
      <c r="B126" s="6" t="s">
        <v>43</v>
      </c>
      <c r="C126" s="6" t="s">
        <v>777</v>
      </c>
      <c r="D126" s="6" t="s">
        <v>778</v>
      </c>
      <c r="E126" s="6" t="n">
        <v>0</v>
      </c>
      <c r="F126" s="6"/>
    </row>
    <row r="127" customFormat="false" ht="15" hidden="false" customHeight="false" outlineLevel="0" collapsed="false">
      <c r="A127" s="6" t="s">
        <v>779</v>
      </c>
      <c r="B127" s="6" t="s">
        <v>43</v>
      </c>
      <c r="C127" s="6" t="s">
        <v>780</v>
      </c>
      <c r="D127" s="6" t="s">
        <v>781</v>
      </c>
      <c r="E127" s="6" t="n">
        <v>0</v>
      </c>
      <c r="F127" s="6"/>
    </row>
    <row r="128" customFormat="false" ht="15" hidden="false" customHeight="false" outlineLevel="0" collapsed="false">
      <c r="A128" s="6" t="s">
        <v>782</v>
      </c>
      <c r="B128" s="6" t="s">
        <v>43</v>
      </c>
      <c r="C128" s="6" t="s">
        <v>669</v>
      </c>
      <c r="D128" s="6" t="s">
        <v>670</v>
      </c>
      <c r="E128" s="6" t="n">
        <v>0</v>
      </c>
      <c r="F128" s="6"/>
    </row>
    <row r="129" customFormat="false" ht="15" hidden="false" customHeight="false" outlineLevel="0" collapsed="false">
      <c r="A129" s="6" t="s">
        <v>783</v>
      </c>
      <c r="B129" s="6" t="s">
        <v>43</v>
      </c>
      <c r="C129" s="6" t="s">
        <v>663</v>
      </c>
      <c r="D129" s="6" t="s">
        <v>664</v>
      </c>
      <c r="E129" s="6" t="n">
        <v>0</v>
      </c>
      <c r="F129" s="6"/>
    </row>
    <row r="130" customFormat="false" ht="15" hidden="false" customHeight="false" outlineLevel="0" collapsed="false">
      <c r="A130" s="6" t="s">
        <v>784</v>
      </c>
      <c r="B130" s="6" t="s">
        <v>43</v>
      </c>
      <c r="C130" s="6" t="s">
        <v>764</v>
      </c>
      <c r="D130" s="6" t="s">
        <v>785</v>
      </c>
      <c r="E130" s="6" t="n">
        <v>0</v>
      </c>
      <c r="F130" s="6"/>
    </row>
    <row r="131" customFormat="false" ht="15" hidden="false" customHeight="false" outlineLevel="0" collapsed="false">
      <c r="A131" s="6" t="s">
        <v>786</v>
      </c>
      <c r="B131" s="6" t="s">
        <v>43</v>
      </c>
      <c r="C131" s="6" t="s">
        <v>787</v>
      </c>
      <c r="D131" s="6" t="s">
        <v>788</v>
      </c>
      <c r="E131" s="6" t="n">
        <v>0</v>
      </c>
      <c r="F131" s="6"/>
    </row>
    <row r="132" customFormat="false" ht="15" hidden="false" customHeight="false" outlineLevel="0" collapsed="false">
      <c r="A132" s="6" t="s">
        <v>789</v>
      </c>
      <c r="B132" s="6" t="s">
        <v>43</v>
      </c>
      <c r="C132" s="6" t="s">
        <v>544</v>
      </c>
      <c r="D132" s="6" t="s">
        <v>545</v>
      </c>
      <c r="E132" s="6" t="n">
        <v>0</v>
      </c>
      <c r="F132" s="6"/>
    </row>
    <row r="133" customFormat="false" ht="15" hidden="false" customHeight="false" outlineLevel="0" collapsed="false">
      <c r="A133" s="6" t="s">
        <v>790</v>
      </c>
      <c r="B133" s="6" t="s">
        <v>43</v>
      </c>
      <c r="C133" s="6" t="s">
        <v>791</v>
      </c>
      <c r="D133" s="6"/>
      <c r="E133" s="6" t="n">
        <v>0</v>
      </c>
      <c r="F133" s="6"/>
    </row>
    <row r="134" customFormat="false" ht="15" hidden="false" customHeight="false" outlineLevel="0" collapsed="false">
      <c r="A134" s="6" t="s">
        <v>792</v>
      </c>
      <c r="B134" s="6" t="s">
        <v>43</v>
      </c>
      <c r="C134" s="6" t="s">
        <v>793</v>
      </c>
      <c r="D134" s="6"/>
      <c r="E134" s="6" t="n">
        <v>0</v>
      </c>
      <c r="F134" s="6"/>
    </row>
    <row r="135" customFormat="false" ht="15" hidden="false" customHeight="false" outlineLevel="0" collapsed="false">
      <c r="A135" s="6" t="s">
        <v>794</v>
      </c>
      <c r="B135" s="6" t="s">
        <v>43</v>
      </c>
      <c r="C135" s="6" t="s">
        <v>40</v>
      </c>
      <c r="D135" s="6" t="s">
        <v>795</v>
      </c>
      <c r="E135" s="6" t="n">
        <v>0</v>
      </c>
      <c r="F135" s="6"/>
    </row>
    <row r="136" customFormat="false" ht="15" hidden="false" customHeight="false" outlineLevel="0" collapsed="false">
      <c r="A136" s="6" t="s">
        <v>796</v>
      </c>
      <c r="B136" s="6" t="s">
        <v>13</v>
      </c>
      <c r="C136" s="6" t="s">
        <v>797</v>
      </c>
      <c r="D136" s="6" t="s">
        <v>266</v>
      </c>
      <c r="E136" s="6" t="n">
        <v>0</v>
      </c>
      <c r="F136" s="6"/>
    </row>
    <row r="137" customFormat="false" ht="15" hidden="false" customHeight="false" outlineLevel="0" collapsed="false">
      <c r="A137" s="6" t="s">
        <v>798</v>
      </c>
      <c r="B137" s="6" t="s">
        <v>13</v>
      </c>
      <c r="C137" s="6" t="s">
        <v>799</v>
      </c>
      <c r="D137" s="6" t="s">
        <v>800</v>
      </c>
      <c r="E137" s="6" t="n">
        <v>0</v>
      </c>
      <c r="F137" s="6"/>
    </row>
    <row r="138" customFormat="false" ht="15" hidden="false" customHeight="false" outlineLevel="0" collapsed="false">
      <c r="A138" s="6" t="s">
        <v>801</v>
      </c>
      <c r="B138" s="6" t="s">
        <v>13</v>
      </c>
      <c r="C138" s="6" t="s">
        <v>270</v>
      </c>
      <c r="D138" s="6"/>
      <c r="E138" s="6" t="n">
        <v>0</v>
      </c>
      <c r="F138" s="6"/>
    </row>
    <row r="139" customFormat="false" ht="15" hidden="false" customHeight="false" outlineLevel="0" collapsed="false">
      <c r="A139" s="6" t="s">
        <v>802</v>
      </c>
      <c r="B139" s="6" t="s">
        <v>13</v>
      </c>
      <c r="C139" s="6" t="s">
        <v>579</v>
      </c>
      <c r="D139" s="6" t="s">
        <v>580</v>
      </c>
      <c r="E139" s="6" t="n">
        <v>0</v>
      </c>
      <c r="F139" s="6"/>
    </row>
    <row r="140" customFormat="false" ht="15" hidden="false" customHeight="false" outlineLevel="0" collapsed="false">
      <c r="A140" s="6" t="s">
        <v>803</v>
      </c>
      <c r="B140" s="6" t="s">
        <v>13</v>
      </c>
      <c r="C140" s="6" t="s">
        <v>804</v>
      </c>
      <c r="D140" s="6"/>
      <c r="E140" s="6" t="n">
        <v>0</v>
      </c>
      <c r="F140" s="6"/>
    </row>
    <row r="141" customFormat="false" ht="15" hidden="false" customHeight="false" outlineLevel="0" collapsed="false">
      <c r="A141" s="6" t="s">
        <v>805</v>
      </c>
      <c r="B141" s="6" t="s">
        <v>13</v>
      </c>
      <c r="C141" s="6" t="s">
        <v>806</v>
      </c>
      <c r="D141" s="6"/>
      <c r="E141" s="6" t="n">
        <v>0</v>
      </c>
      <c r="F141" s="6"/>
    </row>
    <row r="142" customFormat="false" ht="15" hidden="false" customHeight="false" outlineLevel="0" collapsed="false">
      <c r="A142" s="6" t="s">
        <v>807</v>
      </c>
      <c r="B142" s="6" t="s">
        <v>43</v>
      </c>
      <c r="C142" s="6" t="s">
        <v>808</v>
      </c>
      <c r="D142" s="6"/>
      <c r="E142" s="6" t="n">
        <v>0</v>
      </c>
      <c r="F142" s="6"/>
    </row>
    <row r="143" customFormat="false" ht="15" hidden="false" customHeight="false" outlineLevel="0" collapsed="false">
      <c r="A143" s="6" t="s">
        <v>809</v>
      </c>
      <c r="B143" s="6" t="s">
        <v>43</v>
      </c>
      <c r="C143" s="6" t="s">
        <v>810</v>
      </c>
      <c r="D143" s="6"/>
      <c r="E143" s="6" t="n">
        <v>0</v>
      </c>
      <c r="F143" s="6"/>
    </row>
    <row r="144" customFormat="false" ht="15" hidden="false" customHeight="false" outlineLevel="0" collapsed="false">
      <c r="A144" s="6" t="s">
        <v>811</v>
      </c>
      <c r="B144" s="6" t="s">
        <v>13</v>
      </c>
      <c r="C144" s="6" t="s">
        <v>812</v>
      </c>
      <c r="D144" s="6"/>
      <c r="E144" s="6" t="n">
        <v>0</v>
      </c>
      <c r="F144" s="6"/>
    </row>
    <row r="145" customFormat="false" ht="15" hidden="false" customHeight="false" outlineLevel="0" collapsed="false">
      <c r="A145" s="6" t="s">
        <v>813</v>
      </c>
      <c r="B145" s="6" t="s">
        <v>43</v>
      </c>
      <c r="C145" s="6" t="s">
        <v>814</v>
      </c>
      <c r="D145" s="6" t="s">
        <v>815</v>
      </c>
      <c r="E145" s="6" t="n">
        <v>0</v>
      </c>
      <c r="F145" s="6"/>
    </row>
    <row r="146" customFormat="false" ht="15" hidden="false" customHeight="false" outlineLevel="0" collapsed="false">
      <c r="A146" s="6" t="s">
        <v>816</v>
      </c>
      <c r="B146" s="6" t="s">
        <v>43</v>
      </c>
      <c r="C146" s="6" t="s">
        <v>817</v>
      </c>
      <c r="D146" s="6"/>
      <c r="E146" s="6" t="n">
        <v>0</v>
      </c>
      <c r="F146" s="6"/>
    </row>
    <row r="147" customFormat="false" ht="15" hidden="false" customHeight="false" outlineLevel="0" collapsed="false">
      <c r="A147" s="6" t="s">
        <v>818</v>
      </c>
      <c r="B147" s="6" t="s">
        <v>13</v>
      </c>
      <c r="C147" s="6" t="s">
        <v>819</v>
      </c>
      <c r="D147" s="6" t="s">
        <v>820</v>
      </c>
      <c r="E147" s="6" t="n">
        <v>0</v>
      </c>
      <c r="F147" s="6"/>
    </row>
    <row r="148" customFormat="false" ht="15" hidden="false" customHeight="false" outlineLevel="0" collapsed="false">
      <c r="A148" s="6" t="s">
        <v>821</v>
      </c>
      <c r="B148" s="6" t="s">
        <v>13</v>
      </c>
      <c r="C148" s="6" t="s">
        <v>822</v>
      </c>
      <c r="D148" s="6"/>
      <c r="E148" s="6" t="n">
        <v>0</v>
      </c>
      <c r="F148" s="6"/>
    </row>
    <row r="149" customFormat="false" ht="15" hidden="false" customHeight="false" outlineLevel="0" collapsed="false">
      <c r="A149" s="6" t="s">
        <v>823</v>
      </c>
      <c r="B149" s="6" t="s">
        <v>13</v>
      </c>
      <c r="C149" s="6" t="s">
        <v>812</v>
      </c>
      <c r="D149" s="6" t="s">
        <v>824</v>
      </c>
      <c r="E149" s="6" t="n">
        <v>0</v>
      </c>
      <c r="F149" s="6"/>
    </row>
    <row r="150" customFormat="false" ht="15" hidden="false" customHeight="false" outlineLevel="0" collapsed="false">
      <c r="A150" s="6" t="s">
        <v>825</v>
      </c>
      <c r="B150" s="6" t="s">
        <v>13</v>
      </c>
      <c r="C150" s="6" t="s">
        <v>27</v>
      </c>
      <c r="D150" s="6"/>
      <c r="E150" s="6" t="n">
        <v>0</v>
      </c>
      <c r="F150" s="6"/>
    </row>
    <row r="151" customFormat="false" ht="15" hidden="false" customHeight="false" outlineLevel="0" collapsed="false">
      <c r="A151" s="6" t="s">
        <v>826</v>
      </c>
      <c r="B151" s="6" t="s">
        <v>13</v>
      </c>
      <c r="C151" s="6" t="s">
        <v>151</v>
      </c>
      <c r="D151" s="6"/>
      <c r="E151" s="6" t="n">
        <v>0</v>
      </c>
      <c r="F151" s="6"/>
    </row>
    <row r="152" customFormat="false" ht="15" hidden="false" customHeight="false" outlineLevel="0" collapsed="false">
      <c r="A152" s="6" t="s">
        <v>827</v>
      </c>
      <c r="B152" s="6" t="s">
        <v>13</v>
      </c>
      <c r="C152" s="6" t="s">
        <v>828</v>
      </c>
      <c r="D152" s="6" t="s">
        <v>829</v>
      </c>
      <c r="E152" s="6" t="n">
        <v>0</v>
      </c>
      <c r="F152" s="6"/>
    </row>
    <row r="153" customFormat="false" ht="15" hidden="false" customHeight="false" outlineLevel="0" collapsed="false">
      <c r="A153" s="6" t="s">
        <v>830</v>
      </c>
      <c r="B153" s="6" t="s">
        <v>13</v>
      </c>
      <c r="C153" s="6" t="s">
        <v>831</v>
      </c>
      <c r="D153" s="6" t="s">
        <v>832</v>
      </c>
      <c r="E153" s="6" t="n">
        <v>0</v>
      </c>
      <c r="F153" s="6"/>
    </row>
    <row r="154" customFormat="false" ht="15" hidden="false" customHeight="false" outlineLevel="0" collapsed="false">
      <c r="A154" s="6" t="s">
        <v>833</v>
      </c>
      <c r="B154" s="6" t="s">
        <v>13</v>
      </c>
      <c r="C154" s="6" t="s">
        <v>793</v>
      </c>
      <c r="D154" s="6"/>
      <c r="E154" s="6" t="n">
        <v>0</v>
      </c>
      <c r="F154" s="6"/>
    </row>
    <row r="155" customFormat="false" ht="15" hidden="false" customHeight="false" outlineLevel="0" collapsed="false">
      <c r="A155" s="6" t="s">
        <v>834</v>
      </c>
      <c r="B155" s="6" t="s">
        <v>13</v>
      </c>
      <c r="C155" s="6" t="s">
        <v>835</v>
      </c>
      <c r="D155" s="6" t="s">
        <v>836</v>
      </c>
      <c r="E155" s="6" t="n">
        <v>0</v>
      </c>
      <c r="F155" s="6"/>
    </row>
    <row r="156" customFormat="false" ht="15" hidden="false" customHeight="false" outlineLevel="0" collapsed="false">
      <c r="A156" s="6" t="s">
        <v>837</v>
      </c>
      <c r="B156" s="6" t="s">
        <v>13</v>
      </c>
      <c r="C156" s="6" t="s">
        <v>838</v>
      </c>
      <c r="D156" s="6"/>
      <c r="E156" s="6" t="n">
        <v>0</v>
      </c>
      <c r="F156" s="6"/>
    </row>
    <row r="157" customFormat="false" ht="15" hidden="false" customHeight="false" outlineLevel="0" collapsed="false">
      <c r="A157" s="6" t="s">
        <v>839</v>
      </c>
      <c r="B157" s="6" t="s">
        <v>13</v>
      </c>
      <c r="C157" s="6" t="s">
        <v>840</v>
      </c>
      <c r="D157" s="6" t="s">
        <v>841</v>
      </c>
      <c r="E157" s="6" t="n">
        <v>0</v>
      </c>
      <c r="F157" s="6"/>
    </row>
    <row r="158" customFormat="false" ht="15" hidden="false" customHeight="false" outlineLevel="0" collapsed="false">
      <c r="A158" s="6" t="s">
        <v>842</v>
      </c>
      <c r="B158" s="6" t="s">
        <v>13</v>
      </c>
      <c r="C158" s="6" t="s">
        <v>843</v>
      </c>
      <c r="D158" s="6" t="s">
        <v>844</v>
      </c>
      <c r="E158" s="6" t="n">
        <v>0</v>
      </c>
      <c r="F158" s="6"/>
    </row>
    <row r="159" customFormat="false" ht="15" hidden="false" customHeight="false" outlineLevel="0" collapsed="false">
      <c r="A159" s="6" t="s">
        <v>845</v>
      </c>
      <c r="B159" s="6" t="s">
        <v>43</v>
      </c>
      <c r="C159" s="6" t="s">
        <v>846</v>
      </c>
      <c r="D159" s="6" t="s">
        <v>847</v>
      </c>
      <c r="E159" s="6" t="n">
        <v>0</v>
      </c>
      <c r="F159" s="6"/>
    </row>
    <row r="160" customFormat="false" ht="15" hidden="false" customHeight="false" outlineLevel="0" collapsed="false">
      <c r="A160" s="6" t="s">
        <v>848</v>
      </c>
      <c r="B160" s="6" t="s">
        <v>43</v>
      </c>
      <c r="C160" s="6" t="s">
        <v>849</v>
      </c>
      <c r="D160" s="6"/>
      <c r="E160" s="6" t="n">
        <v>0</v>
      </c>
      <c r="F160" s="6"/>
    </row>
    <row r="161" customFormat="false" ht="15" hidden="false" customHeight="false" outlineLevel="0" collapsed="false">
      <c r="A161" s="6" t="s">
        <v>850</v>
      </c>
      <c r="B161" s="6" t="s">
        <v>43</v>
      </c>
      <c r="C161" s="6" t="s">
        <v>851</v>
      </c>
      <c r="D161" s="6"/>
      <c r="E161" s="6" t="n">
        <v>0</v>
      </c>
      <c r="F161" s="6"/>
    </row>
    <row r="162" customFormat="false" ht="15" hidden="false" customHeight="false" outlineLevel="0" collapsed="false">
      <c r="A162" s="6" t="s">
        <v>852</v>
      </c>
      <c r="B162" s="6" t="s">
        <v>13</v>
      </c>
      <c r="C162" s="6" t="s">
        <v>853</v>
      </c>
      <c r="D162" s="6" t="s">
        <v>854</v>
      </c>
      <c r="E162" s="6" t="n">
        <v>0</v>
      </c>
      <c r="F162" s="6"/>
    </row>
    <row r="163" customFormat="false" ht="15" hidden="false" customHeight="false" outlineLevel="0" collapsed="false">
      <c r="A163" s="6" t="s">
        <v>855</v>
      </c>
      <c r="B163" s="6" t="s">
        <v>13</v>
      </c>
      <c r="C163" s="6" t="s">
        <v>569</v>
      </c>
      <c r="D163" s="6" t="s">
        <v>570</v>
      </c>
      <c r="E163" s="6" t="n">
        <v>0</v>
      </c>
      <c r="F163" s="6"/>
    </row>
    <row r="164" customFormat="false" ht="15" hidden="false" customHeight="false" outlineLevel="0" collapsed="false">
      <c r="A164" s="6" t="s">
        <v>856</v>
      </c>
      <c r="B164" s="6" t="s">
        <v>13</v>
      </c>
      <c r="C164" s="6"/>
      <c r="D164" s="6" t="s">
        <v>857</v>
      </c>
      <c r="E164" s="6" t="n">
        <v>0</v>
      </c>
      <c r="F164" s="6"/>
    </row>
    <row r="165" customFormat="false" ht="15" hidden="false" customHeight="false" outlineLevel="0" collapsed="false">
      <c r="A165" s="6" t="s">
        <v>858</v>
      </c>
      <c r="B165" s="6" t="s">
        <v>43</v>
      </c>
      <c r="C165" s="6" t="s">
        <v>859</v>
      </c>
      <c r="D165" s="6" t="s">
        <v>860</v>
      </c>
      <c r="E165" s="6" t="n">
        <v>0</v>
      </c>
      <c r="F165" s="6"/>
    </row>
    <row r="166" customFormat="false" ht="15" hidden="false" customHeight="false" outlineLevel="0" collapsed="false">
      <c r="A166" s="6" t="s">
        <v>861</v>
      </c>
      <c r="B166" s="6" t="s">
        <v>13</v>
      </c>
      <c r="C166" s="6" t="s">
        <v>853</v>
      </c>
      <c r="D166" s="6" t="s">
        <v>862</v>
      </c>
      <c r="E166" s="6" t="n">
        <v>0</v>
      </c>
      <c r="F166" s="6"/>
    </row>
    <row r="167" customFormat="false" ht="15" hidden="false" customHeight="false" outlineLevel="0" collapsed="false">
      <c r="A167" s="6" t="s">
        <v>863</v>
      </c>
      <c r="B167" s="6" t="s">
        <v>43</v>
      </c>
      <c r="C167" s="6" t="s">
        <v>614</v>
      </c>
      <c r="D167" s="6" t="s">
        <v>615</v>
      </c>
      <c r="E167" s="6" t="n">
        <v>0</v>
      </c>
      <c r="F167" s="6"/>
    </row>
    <row r="168" customFormat="false" ht="15" hidden="false" customHeight="false" outlineLevel="0" collapsed="false">
      <c r="A168" s="6" t="s">
        <v>864</v>
      </c>
      <c r="B168" s="6" t="s">
        <v>13</v>
      </c>
      <c r="C168" s="6" t="s">
        <v>865</v>
      </c>
      <c r="D168" s="6" t="s">
        <v>740</v>
      </c>
      <c r="E168" s="6" t="n">
        <v>0</v>
      </c>
      <c r="F168" s="6"/>
    </row>
    <row r="169" customFormat="false" ht="15" hidden="false" customHeight="false" outlineLevel="0" collapsed="false">
      <c r="A169" s="6" t="s">
        <v>866</v>
      </c>
      <c r="B169" s="6" t="s">
        <v>13</v>
      </c>
      <c r="C169" s="6" t="s">
        <v>867</v>
      </c>
      <c r="D169" s="6" t="s">
        <v>868</v>
      </c>
      <c r="E169" s="6" t="n">
        <v>0</v>
      </c>
      <c r="F169" s="6"/>
    </row>
    <row r="170" customFormat="false" ht="15" hidden="false" customHeight="false" outlineLevel="0" collapsed="false">
      <c r="A170" s="6" t="s">
        <v>869</v>
      </c>
      <c r="B170" s="6" t="s">
        <v>43</v>
      </c>
      <c r="C170" s="6" t="s">
        <v>224</v>
      </c>
      <c r="D170" s="6"/>
      <c r="E170" s="6" t="n">
        <v>0</v>
      </c>
      <c r="F170" s="6"/>
    </row>
    <row r="171" customFormat="false" ht="15" hidden="false" customHeight="false" outlineLevel="0" collapsed="false">
      <c r="A171" s="6" t="s">
        <v>870</v>
      </c>
      <c r="B171" s="6" t="s">
        <v>43</v>
      </c>
      <c r="C171" s="6" t="s">
        <v>605</v>
      </c>
      <c r="D171" s="6" t="s">
        <v>606</v>
      </c>
      <c r="E171" s="6" t="n">
        <v>0</v>
      </c>
      <c r="F171" s="6"/>
    </row>
  </sheetData>
  <autoFilter ref="A1:F1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2026-09-19T18:21:39Z</dcterms:created>
  <dc:creator>openpyxl</dc:creator>
  <dc:description/>
  <dc:language>en-US</dc:language>
  <cp:lastModifiedBy/>
  <dcterms:modified xsi:type="dcterms:W3CDTF">2026-09-19T18:21:39Z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